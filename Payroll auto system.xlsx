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20EE5495-B896-4BDF-95F0-62BC676D8DF2}" xr6:coauthVersionLast="47" xr6:coauthVersionMax="47" xr10:uidLastSave="{00000000-0000-0000-0000-000000000000}"/>
  <bookViews>
    <workbookView xWindow="-120" yWindow="-120" windowWidth="29040" windowHeight="15840" activeTab="2" xr2:uid="{A4863049-6543-4A27-AC3C-70E32C342D3D}"/>
  </bookViews>
  <sheets>
    <sheet name="Attendence table" sheetId="1" r:id="rId1"/>
    <sheet name="Salary sheet" sheetId="2" r:id="rId2"/>
    <sheet name="Salary slip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3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5" i="2"/>
  <c r="C1" i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5" i="2"/>
  <c r="A24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5" i="2"/>
  <c r="A1" i="2"/>
  <c r="D12" i="3" s="1"/>
  <c r="A3" i="1"/>
  <c r="B3" i="1" s="1"/>
  <c r="AI8" i="1"/>
  <c r="AJ8" i="1"/>
  <c r="AK8" i="1"/>
  <c r="AL8" i="1"/>
  <c r="AI9" i="1"/>
  <c r="AJ9" i="1"/>
  <c r="AK9" i="1"/>
  <c r="AL9" i="1"/>
  <c r="AI10" i="1"/>
  <c r="AJ10" i="1"/>
  <c r="AK10" i="1"/>
  <c r="AL10" i="1"/>
  <c r="AI11" i="1"/>
  <c r="AJ11" i="1"/>
  <c r="AK11" i="1"/>
  <c r="AL11" i="1"/>
  <c r="AI12" i="1"/>
  <c r="AJ12" i="1"/>
  <c r="AK12" i="1"/>
  <c r="AL12" i="1"/>
  <c r="AI13" i="1"/>
  <c r="AJ13" i="1"/>
  <c r="AK13" i="1"/>
  <c r="AL13" i="1"/>
  <c r="AI14" i="1"/>
  <c r="AJ14" i="1"/>
  <c r="AK14" i="1"/>
  <c r="AL14" i="1"/>
  <c r="AI15" i="1"/>
  <c r="AJ15" i="1"/>
  <c r="AK15" i="1"/>
  <c r="AL15" i="1"/>
  <c r="AI16" i="1"/>
  <c r="AJ16" i="1"/>
  <c r="AK16" i="1"/>
  <c r="AL16" i="1"/>
  <c r="AI17" i="1"/>
  <c r="AJ17" i="1"/>
  <c r="AK17" i="1"/>
  <c r="AL17" i="1"/>
  <c r="AI18" i="1"/>
  <c r="AJ18" i="1"/>
  <c r="AK18" i="1"/>
  <c r="AL18" i="1"/>
  <c r="AI19" i="1"/>
  <c r="AJ19" i="1"/>
  <c r="AK19" i="1"/>
  <c r="AL19" i="1"/>
  <c r="AI20" i="1"/>
  <c r="AJ20" i="1"/>
  <c r="AK20" i="1"/>
  <c r="AL20" i="1"/>
  <c r="AI21" i="1"/>
  <c r="AJ21" i="1"/>
  <c r="AK21" i="1"/>
  <c r="AL21" i="1"/>
  <c r="AI22" i="1"/>
  <c r="AJ22" i="1"/>
  <c r="AK22" i="1"/>
  <c r="AL22" i="1"/>
  <c r="AI23" i="1"/>
  <c r="AJ23" i="1"/>
  <c r="AK23" i="1"/>
  <c r="AL23" i="1"/>
  <c r="AI24" i="1"/>
  <c r="AJ24" i="1"/>
  <c r="AK24" i="1"/>
  <c r="AL24" i="1"/>
  <c r="AI25" i="1"/>
  <c r="AJ25" i="1"/>
  <c r="AK25" i="1"/>
  <c r="AL25" i="1"/>
  <c r="AI26" i="1"/>
  <c r="AJ26" i="1"/>
  <c r="AK26" i="1"/>
  <c r="AL26" i="1"/>
  <c r="AK7" i="1"/>
  <c r="AJ7" i="1"/>
  <c r="AI7" i="1"/>
  <c r="B15" i="3" l="1"/>
  <c r="B7" i="3"/>
  <c r="B13" i="3"/>
  <c r="B6" i="3"/>
  <c r="B14" i="3"/>
  <c r="F23" i="2"/>
  <c r="F22" i="2"/>
  <c r="F21" i="2"/>
  <c r="F20" i="2"/>
  <c r="F24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C4" i="1"/>
  <c r="C5" i="1" s="1"/>
  <c r="D4" i="1" l="1"/>
  <c r="D5" i="1" s="1"/>
  <c r="E4" i="1" l="1"/>
  <c r="E5" i="1" s="1"/>
  <c r="F4" i="1" l="1"/>
  <c r="F5" i="1" s="1"/>
  <c r="G4" i="1" l="1"/>
  <c r="G5" i="1" s="1"/>
  <c r="H4" i="1" l="1"/>
  <c r="H5" i="1" s="1"/>
  <c r="I4" i="1" l="1"/>
  <c r="I5" i="1" s="1"/>
  <c r="J4" i="1" l="1"/>
  <c r="J5" i="1" s="1"/>
  <c r="K4" i="1" l="1"/>
  <c r="K5" i="1" s="1"/>
  <c r="L4" i="1" l="1"/>
  <c r="L5" i="1" s="1"/>
  <c r="M4" i="1" l="1"/>
  <c r="M5" i="1" s="1"/>
  <c r="N4" i="1" l="1"/>
  <c r="N5" i="1" s="1"/>
  <c r="O4" i="1" l="1"/>
  <c r="O5" i="1" s="1"/>
  <c r="P4" i="1" l="1"/>
  <c r="P5" i="1" s="1"/>
  <c r="Q4" i="1" l="1"/>
  <c r="Q5" i="1" s="1"/>
  <c r="R4" i="1" l="1"/>
  <c r="R5" i="1" s="1"/>
  <c r="S4" i="1" l="1"/>
  <c r="S5" i="1" s="1"/>
  <c r="T4" i="1" l="1"/>
  <c r="T5" i="1" s="1"/>
  <c r="U4" i="1" l="1"/>
  <c r="U5" i="1" s="1"/>
  <c r="V4" i="1" l="1"/>
  <c r="V5" i="1" s="1"/>
  <c r="W4" i="1" l="1"/>
  <c r="W5" i="1" s="1"/>
  <c r="X4" i="1" l="1"/>
  <c r="X5" i="1" s="1"/>
  <c r="Y4" i="1" l="1"/>
  <c r="Y5" i="1" s="1"/>
  <c r="Z4" i="1" l="1"/>
  <c r="Z5" i="1" s="1"/>
  <c r="AA4" i="1" l="1"/>
  <c r="AA5" i="1" s="1"/>
  <c r="AB4" i="1" l="1"/>
  <c r="AB5" i="1" s="1"/>
  <c r="AC4" i="1" l="1"/>
  <c r="AC5" i="1" s="1"/>
  <c r="AD4" i="1" l="1"/>
  <c r="AD5" i="1" s="1"/>
  <c r="AE4" i="1" l="1"/>
  <c r="AE5" i="1" s="1"/>
  <c r="AF4" i="1" l="1"/>
  <c r="AF5" i="1" s="1"/>
  <c r="AG4" i="1" l="1"/>
  <c r="AG5" i="1" s="1"/>
  <c r="AH9" i="1" l="1"/>
  <c r="E7" i="2" s="1"/>
  <c r="G7" i="2" s="1"/>
  <c r="AH11" i="1"/>
  <c r="E9" i="2" s="1"/>
  <c r="G9" i="2" s="1"/>
  <c r="AH26" i="1"/>
  <c r="E24" i="2" s="1"/>
  <c r="G24" i="2" s="1"/>
  <c r="AH16" i="1"/>
  <c r="E14" i="2" s="1"/>
  <c r="G14" i="2" s="1"/>
  <c r="AH10" i="1"/>
  <c r="E8" i="2" s="1"/>
  <c r="G8" i="2" s="1"/>
  <c r="AH15" i="1"/>
  <c r="E13" i="2" s="1"/>
  <c r="G13" i="2" s="1"/>
  <c r="AH24" i="1"/>
  <c r="E22" i="2" s="1"/>
  <c r="G22" i="2" s="1"/>
  <c r="AH21" i="1"/>
  <c r="E19" i="2" s="1"/>
  <c r="G19" i="2" s="1"/>
  <c r="AH8" i="1"/>
  <c r="E6" i="2" s="1"/>
  <c r="G6" i="2" s="1"/>
  <c r="AH14" i="1"/>
  <c r="E12" i="2" s="1"/>
  <c r="G12" i="2" s="1"/>
  <c r="AH13" i="1"/>
  <c r="E11" i="2" s="1"/>
  <c r="G11" i="2" s="1"/>
  <c r="AH12" i="1"/>
  <c r="E10" i="2" s="1"/>
  <c r="G10" i="2" s="1"/>
  <c r="AH22" i="1"/>
  <c r="E20" i="2" s="1"/>
  <c r="G20" i="2" s="1"/>
  <c r="AH25" i="1"/>
  <c r="E23" i="2" s="1"/>
  <c r="G23" i="2" s="1"/>
  <c r="AH17" i="1"/>
  <c r="E15" i="2" s="1"/>
  <c r="G15" i="2" s="1"/>
  <c r="AH18" i="1"/>
  <c r="E16" i="2" s="1"/>
  <c r="G16" i="2" s="1"/>
  <c r="AH19" i="1"/>
  <c r="E17" i="2" s="1"/>
  <c r="G17" i="2" s="1"/>
  <c r="AH20" i="1"/>
  <c r="E18" i="2" s="1"/>
  <c r="G18" i="2" s="1"/>
  <c r="AH7" i="1"/>
  <c r="E5" i="2" s="1"/>
  <c r="AH23" i="1"/>
  <c r="E21" i="2" s="1"/>
  <c r="G21" i="2" s="1"/>
  <c r="AL7" i="1"/>
  <c r="F5" i="2" s="1"/>
  <c r="G5" i="2" l="1"/>
  <c r="N5" i="2" s="1"/>
  <c r="B16" i="3" s="1"/>
  <c r="D6" i="3"/>
  <c r="N21" i="2"/>
  <c r="H21" i="2"/>
  <c r="O21" i="2" s="1"/>
  <c r="N16" i="2"/>
  <c r="H16" i="2"/>
  <c r="N10" i="2"/>
  <c r="H10" i="2"/>
  <c r="O10" i="2" s="1"/>
  <c r="N19" i="2"/>
  <c r="H19" i="2"/>
  <c r="O19" i="2" s="1"/>
  <c r="N14" i="2"/>
  <c r="H14" i="2"/>
  <c r="O14" i="2" s="1"/>
  <c r="N22" i="2"/>
  <c r="H22" i="2"/>
  <c r="O22" i="2" s="1"/>
  <c r="N24" i="2"/>
  <c r="H24" i="2"/>
  <c r="O24" i="2" s="1"/>
  <c r="N15" i="2"/>
  <c r="H15" i="2"/>
  <c r="O15" i="2" s="1"/>
  <c r="N11" i="2"/>
  <c r="H11" i="2"/>
  <c r="O11" i="2" s="1"/>
  <c r="N18" i="2"/>
  <c r="H18" i="2"/>
  <c r="O18" i="2" s="1"/>
  <c r="N23" i="2"/>
  <c r="H23" i="2"/>
  <c r="O23" i="2" s="1"/>
  <c r="N12" i="2"/>
  <c r="H12" i="2"/>
  <c r="O12" i="2" s="1"/>
  <c r="N13" i="2"/>
  <c r="H13" i="2"/>
  <c r="O13" i="2" s="1"/>
  <c r="N9" i="2"/>
  <c r="H9" i="2"/>
  <c r="O9" i="2" s="1"/>
  <c r="H5" i="2"/>
  <c r="D5" i="3"/>
  <c r="N17" i="2"/>
  <c r="H17" i="2"/>
  <c r="O17" i="2" s="1"/>
  <c r="N20" i="2"/>
  <c r="H20" i="2"/>
  <c r="O20" i="2" s="1"/>
  <c r="N6" i="2"/>
  <c r="H6" i="2"/>
  <c r="O6" i="2" s="1"/>
  <c r="N8" i="2"/>
  <c r="H8" i="2"/>
  <c r="O8" i="2" s="1"/>
  <c r="N7" i="2"/>
  <c r="H7" i="2"/>
  <c r="O7" i="2" s="1"/>
  <c r="O16" i="2" l="1"/>
  <c r="Q23" i="2"/>
  <c r="R23" i="2" s="1"/>
  <c r="Q11" i="2"/>
  <c r="R11" i="2" s="1"/>
  <c r="Q14" i="2"/>
  <c r="R14" i="2" s="1"/>
  <c r="Q10" i="2"/>
  <c r="R10" i="2" s="1"/>
  <c r="Q21" i="2"/>
  <c r="R21" i="2" s="1"/>
  <c r="Q7" i="2"/>
  <c r="R7" i="2" s="1"/>
  <c r="Q6" i="2"/>
  <c r="R6" i="2" s="1"/>
  <c r="Q9" i="2"/>
  <c r="R9" i="2" s="1"/>
  <c r="Q18" i="2"/>
  <c r="R18" i="2" s="1"/>
  <c r="Q22" i="2"/>
  <c r="R22" i="2" s="1"/>
  <c r="Q16" i="2"/>
  <c r="R16" i="2" s="1"/>
  <c r="Q8" i="2"/>
  <c r="R8" i="2" s="1"/>
  <c r="Q20" i="2"/>
  <c r="R20" i="2" s="1"/>
  <c r="Q13" i="2"/>
  <c r="R13" i="2" s="1"/>
  <c r="Q24" i="2"/>
  <c r="R24" i="2" s="1"/>
  <c r="O5" i="2"/>
  <c r="C9" i="3"/>
  <c r="B12" i="3"/>
  <c r="Q17" i="2"/>
  <c r="R17" i="2" s="1"/>
  <c r="R12" i="2"/>
  <c r="Q12" i="2"/>
  <c r="Q15" i="2"/>
  <c r="R15" i="2" s="1"/>
  <c r="Q19" i="2"/>
  <c r="R19" i="2" s="1"/>
  <c r="Q5" i="2" l="1"/>
  <c r="D13" i="3" s="1"/>
  <c r="D17" i="3" s="1"/>
  <c r="B17" i="3"/>
  <c r="C18" i="3" l="1"/>
  <c r="R5" i="2"/>
</calcChain>
</file>

<file path=xl/sharedStrings.xml><?xml version="1.0" encoding="utf-8"?>
<sst xmlns="http://schemas.openxmlformats.org/spreadsheetml/2006/main" count="666" uniqueCount="95">
  <si>
    <t>Month</t>
  </si>
  <si>
    <t>Year</t>
  </si>
  <si>
    <t>May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</si>
  <si>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</si>
  <si>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</si>
  <si>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</si>
  <si>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</si>
  <si>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</si>
  <si>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</si>
  <si>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</si>
  <si>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</si>
  <si>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</si>
  <si>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</si>
  <si>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</si>
  <si>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Emp_Id</t>
  </si>
  <si>
    <t>Emp_Name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</si>
  <si>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</si>
  <si>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</si>
  <si>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</si>
  <si>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</si>
  <si>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</si>
  <si>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</si>
  <si>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</si>
  <si>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</si>
  <si>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</si>
  <si>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</si>
  <si>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</si>
  <si>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</si>
  <si>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</si>
  <si>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</si>
  <si>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</si>
  <si>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</si>
  <si>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</si>
  <si>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</si>
  <si>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</si>
  <si>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</si>
  <si>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Aarav Sharma</t>
  </si>
  <si>
    <t>Aditya Verma</t>
  </si>
  <si>
    <t>Ananya Singh</t>
  </si>
  <si>
    <t>Arjun Kumar</t>
  </si>
  <si>
    <t>Ayush Gupta</t>
  </si>
  <si>
    <t>Deepak Yadav</t>
  </si>
  <si>
    <t>Divya Patel</t>
  </si>
  <si>
    <t>Harsh Raj</t>
  </si>
  <si>
    <t>Karan Mehta</t>
  </si>
  <si>
    <t>Kavya Nair</t>
  </si>
  <si>
    <t>Manish Kumar</t>
  </si>
  <si>
    <t>Neha Sharma</t>
  </si>
  <si>
    <t>Pooja Verma</t>
  </si>
  <si>
    <t>Rahul Singh</t>
  </si>
  <si>
    <t>Riya Gupta</t>
  </si>
  <si>
    <t>Rohit Mishra</t>
  </si>
  <si>
    <t>Sanya Kapoor</t>
  </si>
  <si>
    <t>Shubham Das</t>
  </si>
  <si>
    <t>Sneha Kumari</t>
  </si>
  <si>
    <t>Vikash Kumar</t>
  </si>
  <si>
    <t>TOTAL DAY</t>
  </si>
  <si>
    <t>PRESENT</t>
  </si>
  <si>
    <t>ABSENT</t>
  </si>
  <si>
    <t>HOLIDAY</t>
  </si>
  <si>
    <t>WEEK OFF</t>
  </si>
  <si>
    <t>H</t>
  </si>
  <si>
    <t>A</t>
  </si>
  <si>
    <t>P</t>
  </si>
  <si>
    <t>Emp-Id</t>
  </si>
  <si>
    <t>Emp-Name</t>
  </si>
  <si>
    <t>Designation</t>
  </si>
  <si>
    <t>Basic Salary</t>
  </si>
  <si>
    <t>Total Days</t>
  </si>
  <si>
    <t>Attendance (Working Days)</t>
  </si>
  <si>
    <t>Per day Salary</t>
  </si>
  <si>
    <t>Salary 
(Based on Attendance)</t>
  </si>
  <si>
    <t>DA (12%)</t>
  </si>
  <si>
    <t>City</t>
  </si>
  <si>
    <t>HRA</t>
  </si>
  <si>
    <t>OT in (Hrs.)</t>
  </si>
  <si>
    <t>Overtime Pay</t>
  </si>
  <si>
    <t>Gross Salary</t>
  </si>
  <si>
    <t>PF (12%)</t>
  </si>
  <si>
    <t>ESI (0.75%)</t>
  </si>
  <si>
    <t>Net Salary</t>
  </si>
  <si>
    <t>Manager</t>
  </si>
  <si>
    <t>Tech</t>
  </si>
  <si>
    <t>Staff</t>
  </si>
  <si>
    <t>Peon</t>
  </si>
  <si>
    <t>Non-City</t>
  </si>
  <si>
    <t>TA(5%)</t>
  </si>
  <si>
    <t>ADITYA PVT.LTD</t>
  </si>
  <si>
    <t>Employee Details</t>
  </si>
  <si>
    <t>Salary Details</t>
  </si>
  <si>
    <t>Salary Slip Print date</t>
  </si>
  <si>
    <t>Earning</t>
  </si>
  <si>
    <t>Deduction</t>
  </si>
  <si>
    <t>Gross Deduction</t>
  </si>
  <si>
    <t>Delhi,Dwarka,Sector-10,INDIA, Mob:-8709655323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</si>
</sst>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dd\-mm\-yyyy"/>
    <numFmt numFmtId="165" formatCode="dd"/>
    <numFmt numFmtId="166" formatCode="0\ &quot;Hrs.&quot;"/>
    <numFmt numFmtId="167" formatCode="[$₹-439]#,##0"/>
    <numFmt numFmtId="168" formatCode="[$₹-439]#,##0.00"/>
    <numFmt numFmtId="169" formatCode="_ [$₹-439]* #,##0_ ;_ [$₹-439]* \-#,##0_ ;_ [$₹-439]* &quot;-&quot;??_ ;_ @_ 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</font>
    <font>
      <sz val="14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2"/>
      <color theme="0"/>
      <name val="Arial Black"/>
      <family val="2"/>
    </font>
    <font>
      <b/>
      <i/>
      <u/>
      <sz val="14"/>
      <color theme="1"/>
      <name val="Aptos Narrow"/>
      <family val="2"/>
    </font>
    <font>
      <b/>
      <sz val="11"/>
      <color rgb="FFFFFFFF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0"/>
      <name val="Bahnschrift Condensed"/>
      <family val="2"/>
    </font>
    <font>
      <b/>
      <sz val="14"/>
      <color theme="0"/>
      <name val="Aptos Narrow"/>
      <family val="2"/>
      <scheme val="minor"/>
    </font>
    <font>
      <b/>
      <sz val="16"/>
      <color theme="1"/>
      <name val="Arial Rounded MT Bold"/>
      <family val="2"/>
    </font>
    <font>
      <sz val="14"/>
      <color theme="0"/>
      <name val="Aptos Narrow"/>
      <family val="2"/>
      <scheme val="minor"/>
    </font>
    <font>
      <b/>
      <sz val="12"/>
      <color theme="1"/>
      <name val="AR PL UKai TW"/>
    </font>
    <font>
      <b/>
      <sz val="12"/>
      <color theme="1"/>
      <name val="Aptos"/>
      <family val="2"/>
    </font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6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/>
    <xf numFmtId="0" fontId="4" fillId="0" borderId="0" xfId="0" applyFont="1"/>
    <xf numFmtId="0" fontId="0" fillId="0" borderId="0" xfId="0" applyFill="1" applyBorder="1"/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16" xfId="0" applyBorder="1"/>
    <xf numFmtId="0" fontId="0" fillId="0" borderId="9" xfId="0" applyBorder="1"/>
    <xf numFmtId="0" fontId="0" fillId="0" borderId="11" xfId="0" applyBorder="1"/>
    <xf numFmtId="0" fontId="0" fillId="0" borderId="19" xfId="0" applyBorder="1"/>
    <xf numFmtId="0" fontId="0" fillId="0" borderId="20" xfId="0" applyBorder="1"/>
    <xf numFmtId="0" fontId="0" fillId="0" borderId="2" xfId="0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8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166" fontId="0" fillId="0" borderId="1" xfId="0" applyNumberFormat="1" applyBorder="1"/>
    <xf numFmtId="166" fontId="0" fillId="0" borderId="11" xfId="0" applyNumberFormat="1" applyBorder="1"/>
    <xf numFmtId="0" fontId="8" fillId="3" borderId="7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1" fontId="0" fillId="0" borderId="8" xfId="0" applyNumberFormat="1" applyBorder="1"/>
    <xf numFmtId="1" fontId="0" fillId="0" borderId="11" xfId="0" applyNumberFormat="1" applyBorder="1"/>
    <xf numFmtId="1" fontId="0" fillId="0" borderId="10" xfId="0" applyNumberFormat="1" applyBorder="1"/>
    <xf numFmtId="0" fontId="0" fillId="0" borderId="19" xfId="0" applyFill="1" applyBorder="1"/>
    <xf numFmtId="165" fontId="10" fillId="3" borderId="25" xfId="0" applyNumberFormat="1" applyFont="1" applyFill="1" applyBorder="1" applyAlignment="1">
      <alignment horizontal="center" vertical="center"/>
    </xf>
    <xf numFmtId="165" fontId="10" fillId="3" borderId="26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1" fillId="4" borderId="4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0" xfId="0" applyFont="1" applyBorder="1"/>
    <xf numFmtId="0" fontId="1" fillId="4" borderId="7" xfId="0" applyFont="1" applyFill="1" applyBorder="1" applyAlignment="1">
      <alignment horizontal="center" vertical="center"/>
    </xf>
    <xf numFmtId="0" fontId="1" fillId="4" borderId="3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11" xfId="0" applyFont="1" applyFill="1" applyBorder="1" applyAlignment="1">
      <alignment horizontal="left" vertical="center" wrapText="1"/>
    </xf>
    <xf numFmtId="167" fontId="15" fillId="0" borderId="1" xfId="0" applyNumberFormat="1" applyFont="1" applyBorder="1"/>
    <xf numFmtId="168" fontId="4" fillId="0" borderId="8" xfId="0" applyNumberFormat="1" applyFont="1" applyBorder="1"/>
    <xf numFmtId="0" fontId="15" fillId="0" borderId="8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164" fontId="15" fillId="0" borderId="10" xfId="0" applyNumberFormat="1" applyFont="1" applyBorder="1" applyAlignment="1">
      <alignment horizontal="left" vertical="center"/>
    </xf>
    <xf numFmtId="168" fontId="15" fillId="0" borderId="8" xfId="0" applyNumberFormat="1" applyFont="1" applyBorder="1"/>
    <xf numFmtId="168" fontId="15" fillId="0" borderId="8" xfId="0" applyNumberFormat="1" applyFont="1" applyBorder="1" applyAlignment="1">
      <alignment horizontal="right"/>
    </xf>
    <xf numFmtId="167" fontId="15" fillId="0" borderId="4" xfId="0" applyNumberFormat="1" applyFont="1" applyBorder="1"/>
    <xf numFmtId="168" fontId="15" fillId="0" borderId="33" xfId="0" applyNumberFormat="1" applyFont="1" applyBorder="1"/>
    <xf numFmtId="167" fontId="15" fillId="0" borderId="28" xfId="0" applyNumberFormat="1" applyFont="1" applyBorder="1"/>
    <xf numFmtId="1" fontId="15" fillId="0" borderId="29" xfId="0" applyNumberFormat="1" applyFont="1" applyBorder="1"/>
    <xf numFmtId="0" fontId="4" fillId="0" borderId="23" xfId="0" applyFont="1" applyBorder="1"/>
    <xf numFmtId="0" fontId="4" fillId="0" borderId="16" xfId="0" applyFont="1" applyBorder="1"/>
    <xf numFmtId="0" fontId="10" fillId="3" borderId="0" xfId="0" applyFont="1" applyFill="1" applyBorder="1" applyAlignment="1">
      <alignment horizontal="center" vertical="center" textRotation="90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0" fillId="3" borderId="23" xfId="0" applyFont="1" applyFill="1" applyBorder="1" applyAlignment="1">
      <alignment horizontal="center" vertical="center" textRotation="90"/>
    </xf>
    <xf numFmtId="0" fontId="10" fillId="3" borderId="27" xfId="0" applyFont="1" applyFill="1" applyBorder="1" applyAlignment="1">
      <alignment horizontal="center" textRotation="90"/>
    </xf>
    <xf numFmtId="0" fontId="10" fillId="3" borderId="16" xfId="0" applyFont="1" applyFill="1" applyBorder="1" applyAlignment="1">
      <alignment horizontal="center" textRotation="90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horizontal="center" textRotation="90"/>
    </xf>
    <xf numFmtId="0" fontId="10" fillId="3" borderId="0" xfId="0" applyFont="1" applyFill="1" applyBorder="1" applyAlignment="1">
      <alignment horizontal="center" textRotation="90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right" vertical="center" wrapText="1"/>
    </xf>
    <xf numFmtId="0" fontId="1" fillId="4" borderId="35" xfId="0" applyFont="1" applyFill="1" applyBorder="1" applyAlignment="1">
      <alignment horizontal="right" vertical="center" wrapText="1"/>
    </xf>
    <xf numFmtId="0" fontId="4" fillId="0" borderId="24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15" xfId="0" applyFont="1" applyFill="1" applyBorder="1" applyAlignment="1">
      <alignment horizontal="center"/>
    </xf>
    <xf numFmtId="0" fontId="11" fillId="6" borderId="38" xfId="0" applyFont="1" applyFill="1" applyBorder="1" applyAlignment="1">
      <alignment horizontal="center"/>
    </xf>
    <xf numFmtId="0" fontId="11" fillId="6" borderId="39" xfId="0" applyFont="1" applyFill="1" applyBorder="1" applyAlignment="1">
      <alignment horizontal="center"/>
    </xf>
    <xf numFmtId="0" fontId="11" fillId="6" borderId="36" xfId="0" applyFont="1" applyFill="1" applyBorder="1" applyAlignment="1">
      <alignment horizontal="center"/>
    </xf>
    <xf numFmtId="0" fontId="11" fillId="6" borderId="37" xfId="0" applyFont="1" applyFill="1" applyBorder="1" applyAlignment="1">
      <alignment horizontal="center"/>
    </xf>
    <xf numFmtId="169" fontId="13" fillId="6" borderId="34" xfId="1" applyNumberFormat="1" applyFont="1" applyFill="1" applyBorder="1" applyAlignment="1">
      <alignment horizontal="right"/>
    </xf>
    <xf numFmtId="169" fontId="13" fillId="6" borderId="31" xfId="1" applyNumberFormat="1" applyFont="1" applyFill="1" applyBorder="1" applyAlignment="1">
      <alignment horizontal="right"/>
    </xf>
    <xf numFmtId="0" fontId="14" fillId="0" borderId="23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16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5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3999450666829432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1975-3294-4921-917C-BD3CACC672FF}">
  <dimension ref="A1:AO42"/>
  <sheetViews>
    <sheetView zoomScale="140" zoomScaleNormal="140" workbookViewId="0">
      <selection activeCell="X12" sqref="X12"/>
    </sheetView>
  </sheetViews>
  <sheetFormatPr defaultRowHeight="15" x14ac:dyDescent="0.25"/>
  <cols>
    <col min="1" max="1" width="11.5703125" bestFit="1" customWidth="1"/>
    <col min="2" max="2" width="14.140625" bestFit="1" customWidth="1"/>
    <col min="3" max="3" width="3.5703125" bestFit="1" customWidth="1"/>
    <col min="4" max="33" width="3.140625" bestFit="1" customWidth="1"/>
    <col min="34" max="34" width="10.28515625" bestFit="1" customWidth="1"/>
    <col min="35" max="35" width="8.7109375" bestFit="1" customWidth="1"/>
    <col min="36" max="36" width="7.7109375" bestFit="1" customWidth="1"/>
    <col min="37" max="37" width="8.5703125" bestFit="1" customWidth="1"/>
    <col min="38" max="38" width="9.7109375" bestFit="1" customWidth="1"/>
  </cols>
  <sheetData>
    <row r="1" spans="1:41" ht="20.25" thickBot="1" x14ac:dyDescent="0.3">
      <c r="A1" s="6" t="s">
        <v>0</v>
      </c>
      <c r="B1" s="7" t="s">
        <v>1</v>
      </c>
      <c r="C1" s="67" t="str">
        <f>"FULL AUTOMATIC ATTENDENCE TABLE - "&amp;A2&amp;" "&amp;B2</f>
        <v>FULL AUTOMATIC ATTENDENCE TABLE - Jul 2026</v>
      </c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8"/>
    </row>
    <row r="2" spans="1:41" ht="18.75" x14ac:dyDescent="0.25">
      <c r="A2" s="8" t="s">
        <v>8</v>
      </c>
      <c r="B2" s="9">
        <v>2026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70"/>
    </row>
    <row r="3" spans="1:41" ht="15.75" thickBot="1" x14ac:dyDescent="0.3">
      <c r="A3" s="4">
        <f>DATEVALUE("1"&amp;A2&amp;B2)</f>
        <v>46204</v>
      </c>
      <c r="B3" s="5">
        <f>EOMONTH(A3,0)</f>
        <v>46234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70"/>
    </row>
    <row r="4" spans="1:41" x14ac:dyDescent="0.25">
      <c r="A4" s="60" t="s">
        <v>14</v>
      </c>
      <c r="B4" s="62" t="s">
        <v>15</v>
      </c>
      <c r="C4" s="31">
        <f>A3</f>
        <v>46204</v>
      </c>
      <c r="D4" s="32">
        <f>IF(C4&lt;$B$3,C4+1,"")</f>
        <v>46205</v>
      </c>
      <c r="E4" s="32">
        <f t="shared" ref="E4:AG4" si="0">IF(D4&lt;$B$3,D4+1,"")</f>
        <v>46206</v>
      </c>
      <c r="F4" s="32">
        <f t="shared" si="0"/>
        <v>46207</v>
      </c>
      <c r="G4" s="32">
        <f t="shared" si="0"/>
        <v>46208</v>
      </c>
      <c r="H4" s="32">
        <f t="shared" si="0"/>
        <v>46209</v>
      </c>
      <c r="I4" s="32">
        <f t="shared" si="0"/>
        <v>46210</v>
      </c>
      <c r="J4" s="32">
        <f t="shared" si="0"/>
        <v>46211</v>
      </c>
      <c r="K4" s="32">
        <f t="shared" si="0"/>
        <v>46212</v>
      </c>
      <c r="L4" s="32">
        <f t="shared" si="0"/>
        <v>46213</v>
      </c>
      <c r="M4" s="32">
        <f t="shared" si="0"/>
        <v>46214</v>
      </c>
      <c r="N4" s="32">
        <f t="shared" si="0"/>
        <v>46215</v>
      </c>
      <c r="O4" s="32">
        <f t="shared" si="0"/>
        <v>46216</v>
      </c>
      <c r="P4" s="32">
        <f t="shared" si="0"/>
        <v>46217</v>
      </c>
      <c r="Q4" s="32">
        <f t="shared" si="0"/>
        <v>46218</v>
      </c>
      <c r="R4" s="32">
        <f t="shared" si="0"/>
        <v>46219</v>
      </c>
      <c r="S4" s="32">
        <f t="shared" si="0"/>
        <v>46220</v>
      </c>
      <c r="T4" s="32">
        <f t="shared" si="0"/>
        <v>46221</v>
      </c>
      <c r="U4" s="32">
        <f t="shared" si="0"/>
        <v>46222</v>
      </c>
      <c r="V4" s="32">
        <f t="shared" si="0"/>
        <v>46223</v>
      </c>
      <c r="W4" s="32">
        <f t="shared" si="0"/>
        <v>46224</v>
      </c>
      <c r="X4" s="32">
        <f t="shared" si="0"/>
        <v>46225</v>
      </c>
      <c r="Y4" s="32">
        <f t="shared" si="0"/>
        <v>46226</v>
      </c>
      <c r="Z4" s="32">
        <f t="shared" si="0"/>
        <v>46227</v>
      </c>
      <c r="AA4" s="32">
        <f t="shared" si="0"/>
        <v>46228</v>
      </c>
      <c r="AB4" s="32">
        <f t="shared" si="0"/>
        <v>46229</v>
      </c>
      <c r="AC4" s="32">
        <f t="shared" si="0"/>
        <v>46230</v>
      </c>
      <c r="AD4" s="32">
        <f t="shared" si="0"/>
        <v>46231</v>
      </c>
      <c r="AE4" s="32">
        <f t="shared" si="0"/>
        <v>46232</v>
      </c>
      <c r="AF4" s="32">
        <f t="shared" si="0"/>
        <v>46233</v>
      </c>
      <c r="AG4" s="32">
        <f t="shared" si="0"/>
        <v>46234</v>
      </c>
      <c r="AH4" s="71" t="s">
        <v>56</v>
      </c>
      <c r="AI4" s="73" t="s">
        <v>57</v>
      </c>
      <c r="AJ4" s="73" t="s">
        <v>58</v>
      </c>
      <c r="AK4" s="73" t="s">
        <v>59</v>
      </c>
      <c r="AL4" s="65" t="s">
        <v>60</v>
      </c>
      <c r="AO4" s="11"/>
    </row>
    <row r="5" spans="1:41" x14ac:dyDescent="0.25">
      <c r="A5" s="60"/>
      <c r="B5" s="63"/>
      <c r="C5" s="64" t="str">
        <f>TEXT(C4,"ddd")</f>
        <v>Wed</v>
      </c>
      <c r="D5" s="59" t="str">
        <f t="shared" ref="D5:AG5" si="1">TEXT(D4,"ddd")</f>
        <v>Thu</v>
      </c>
      <c r="E5" s="59" t="str">
        <f t="shared" si="1"/>
        <v>Fri</v>
      </c>
      <c r="F5" s="59" t="str">
        <f t="shared" si="1"/>
        <v>Sat</v>
      </c>
      <c r="G5" s="59" t="str">
        <f t="shared" si="1"/>
        <v>Sun</v>
      </c>
      <c r="H5" s="59" t="str">
        <f t="shared" si="1"/>
        <v>Mon</v>
      </c>
      <c r="I5" s="59" t="str">
        <f t="shared" si="1"/>
        <v>Tue</v>
      </c>
      <c r="J5" s="59" t="str">
        <f t="shared" si="1"/>
        <v>Wed</v>
      </c>
      <c r="K5" s="59" t="str">
        <f t="shared" si="1"/>
        <v>Thu</v>
      </c>
      <c r="L5" s="59" t="str">
        <f t="shared" si="1"/>
        <v>Fri</v>
      </c>
      <c r="M5" s="59" t="str">
        <f t="shared" si="1"/>
        <v>Sat</v>
      </c>
      <c r="N5" s="59" t="str">
        <f t="shared" si="1"/>
        <v>Sun</v>
      </c>
      <c r="O5" s="59" t="str">
        <f t="shared" si="1"/>
        <v>Mon</v>
      </c>
      <c r="P5" s="59" t="str">
        <f t="shared" si="1"/>
        <v>Tue</v>
      </c>
      <c r="Q5" s="59" t="str">
        <f t="shared" si="1"/>
        <v>Wed</v>
      </c>
      <c r="R5" s="59" t="str">
        <f t="shared" si="1"/>
        <v>Thu</v>
      </c>
      <c r="S5" s="59" t="str">
        <f t="shared" si="1"/>
        <v>Fri</v>
      </c>
      <c r="T5" s="59" t="str">
        <f t="shared" si="1"/>
        <v>Sat</v>
      </c>
      <c r="U5" s="59" t="str">
        <f t="shared" si="1"/>
        <v>Sun</v>
      </c>
      <c r="V5" s="59" t="str">
        <f t="shared" si="1"/>
        <v>Mon</v>
      </c>
      <c r="W5" s="59" t="str">
        <f t="shared" si="1"/>
        <v>Tue</v>
      </c>
      <c r="X5" s="59" t="str">
        <f t="shared" si="1"/>
        <v>Wed</v>
      </c>
      <c r="Y5" s="59" t="str">
        <f t="shared" si="1"/>
        <v>Thu</v>
      </c>
      <c r="Z5" s="59" t="str">
        <f t="shared" si="1"/>
        <v>Fri</v>
      </c>
      <c r="AA5" s="59" t="str">
        <f t="shared" si="1"/>
        <v>Sat</v>
      </c>
      <c r="AB5" s="59" t="str">
        <f t="shared" si="1"/>
        <v>Sun</v>
      </c>
      <c r="AC5" s="59" t="str">
        <f t="shared" si="1"/>
        <v>Mon</v>
      </c>
      <c r="AD5" s="59" t="str">
        <f t="shared" si="1"/>
        <v>Tue</v>
      </c>
      <c r="AE5" s="59" t="str">
        <f t="shared" si="1"/>
        <v>Wed</v>
      </c>
      <c r="AF5" s="59" t="str">
        <f t="shared" si="1"/>
        <v>Thu</v>
      </c>
      <c r="AG5" s="59" t="str">
        <f t="shared" si="1"/>
        <v>Fri</v>
      </c>
      <c r="AH5" s="72"/>
      <c r="AI5" s="74"/>
      <c r="AJ5" s="74"/>
      <c r="AK5" s="74"/>
      <c r="AL5" s="66"/>
      <c r="AO5" s="11"/>
    </row>
    <row r="6" spans="1:41" x14ac:dyDescent="0.25">
      <c r="A6" s="61"/>
      <c r="B6" s="63"/>
      <c r="C6" s="64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72"/>
      <c r="AI6" s="74"/>
      <c r="AJ6" s="74"/>
      <c r="AK6" s="74"/>
      <c r="AL6" s="66"/>
    </row>
    <row r="7" spans="1:41" x14ac:dyDescent="0.25">
      <c r="A7" s="10" t="s">
        <v>16</v>
      </c>
      <c r="B7" s="17" t="s">
        <v>36</v>
      </c>
      <c r="C7" s="19" t="s">
        <v>63</v>
      </c>
      <c r="D7" s="3" t="s">
        <v>62</v>
      </c>
      <c r="E7" s="3" t="s">
        <v>61</v>
      </c>
      <c r="F7" s="3" t="s">
        <v>63</v>
      </c>
      <c r="G7" s="11" t="s">
        <v>62</v>
      </c>
      <c r="H7" s="11" t="s">
        <v>61</v>
      </c>
      <c r="I7" s="3" t="s">
        <v>63</v>
      </c>
      <c r="J7" s="3" t="s">
        <v>63</v>
      </c>
      <c r="K7" s="11" t="s">
        <v>63</v>
      </c>
      <c r="L7" s="3" t="s">
        <v>63</v>
      </c>
      <c r="M7" s="11" t="s">
        <v>63</v>
      </c>
      <c r="N7" s="11"/>
      <c r="O7" s="11" t="s">
        <v>63</v>
      </c>
      <c r="P7" s="11" t="s">
        <v>63</v>
      </c>
      <c r="Q7" s="11" t="s">
        <v>63</v>
      </c>
      <c r="R7" s="11" t="s">
        <v>63</v>
      </c>
      <c r="S7" s="11" t="s">
        <v>61</v>
      </c>
      <c r="T7" s="3" t="s">
        <v>61</v>
      </c>
      <c r="U7" s="11"/>
      <c r="V7" s="11" t="s">
        <v>63</v>
      </c>
      <c r="W7" s="11" t="s">
        <v>63</v>
      </c>
      <c r="X7" s="11" t="s">
        <v>63</v>
      </c>
      <c r="Y7" s="11" t="s">
        <v>63</v>
      </c>
      <c r="Z7" s="11" t="s">
        <v>62</v>
      </c>
      <c r="AA7" s="3" t="s">
        <v>63</v>
      </c>
      <c r="AB7" s="11"/>
      <c r="AC7" s="3" t="s">
        <v>63</v>
      </c>
      <c r="AD7" s="3" t="s">
        <v>63</v>
      </c>
      <c r="AE7" s="3" t="s">
        <v>63</v>
      </c>
      <c r="AF7" s="3" t="s">
        <v>63</v>
      </c>
      <c r="AG7" s="11"/>
      <c r="AH7" s="11">
        <f>COUNT($C$4:$AG$4)</f>
        <v>31</v>
      </c>
      <c r="AI7" s="11">
        <f>COUNTIF($C7:$AG7,"P")</f>
        <v>20</v>
      </c>
      <c r="AJ7" s="11">
        <f>COUNTIF($C7:$AG7,"A")</f>
        <v>3</v>
      </c>
      <c r="AK7" s="11">
        <f>COUNTIF($C7:$AG7,"H")</f>
        <v>4</v>
      </c>
      <c r="AL7" s="12">
        <f>COUNTIF($C5:$AG6,"Sun")</f>
        <v>4</v>
      </c>
    </row>
    <row r="8" spans="1:41" x14ac:dyDescent="0.25">
      <c r="A8" s="10" t="s">
        <v>17</v>
      </c>
      <c r="B8" s="17" t="s">
        <v>37</v>
      </c>
      <c r="C8" s="19" t="s">
        <v>63</v>
      </c>
      <c r="D8" s="11" t="s">
        <v>63</v>
      </c>
      <c r="E8" s="3" t="s">
        <v>63</v>
      </c>
      <c r="F8" s="3" t="s">
        <v>63</v>
      </c>
      <c r="G8" s="11"/>
      <c r="H8" s="11" t="s">
        <v>63</v>
      </c>
      <c r="I8" s="11" t="s">
        <v>63</v>
      </c>
      <c r="J8" s="11" t="s">
        <v>63</v>
      </c>
      <c r="K8" s="11" t="s">
        <v>63</v>
      </c>
      <c r="L8" s="3" t="s">
        <v>63</v>
      </c>
      <c r="M8" s="11" t="s">
        <v>63</v>
      </c>
      <c r="N8" s="11"/>
      <c r="O8" s="11" t="s">
        <v>63</v>
      </c>
      <c r="P8" s="11" t="s">
        <v>63</v>
      </c>
      <c r="Q8" s="3" t="s">
        <v>63</v>
      </c>
      <c r="R8" s="11" t="s">
        <v>63</v>
      </c>
      <c r="S8" s="11" t="s">
        <v>61</v>
      </c>
      <c r="T8" s="3" t="s">
        <v>61</v>
      </c>
      <c r="U8" s="11"/>
      <c r="V8" s="3" t="s">
        <v>63</v>
      </c>
      <c r="W8" s="3" t="s">
        <v>63</v>
      </c>
      <c r="X8" s="11" t="s">
        <v>63</v>
      </c>
      <c r="Y8" s="11" t="s">
        <v>63</v>
      </c>
      <c r="Z8" s="11" t="s">
        <v>63</v>
      </c>
      <c r="AA8" s="11" t="s">
        <v>63</v>
      </c>
      <c r="AB8" s="11"/>
      <c r="AC8" s="3" t="s">
        <v>63</v>
      </c>
      <c r="AD8" s="3" t="s">
        <v>63</v>
      </c>
      <c r="AE8" s="3" t="s">
        <v>63</v>
      </c>
      <c r="AF8" s="3" t="s">
        <v>63</v>
      </c>
      <c r="AG8" s="11"/>
      <c r="AH8" s="11">
        <f t="shared" ref="AH8:AH26" si="2">COUNT($C$4:$AG$4)</f>
        <v>31</v>
      </c>
      <c r="AI8" s="11">
        <f t="shared" ref="AI8:AI26" si="3">COUNTIF($C8:$AG8,"P")</f>
        <v>24</v>
      </c>
      <c r="AJ8" s="11">
        <f t="shared" ref="AJ8:AJ26" si="4">COUNTIF($C8:$AG8,"A")</f>
        <v>0</v>
      </c>
      <c r="AK8" s="11">
        <f t="shared" ref="AK8:AK26" si="5">COUNTIF($C8:$AG8,"H")</f>
        <v>2</v>
      </c>
      <c r="AL8" s="12">
        <f t="shared" ref="AL8:AL26" si="6">COUNTIF($C6:$AG7,"Sun")</f>
        <v>0</v>
      </c>
    </row>
    <row r="9" spans="1:41" x14ac:dyDescent="0.25">
      <c r="A9" s="10" t="s">
        <v>18</v>
      </c>
      <c r="B9" s="17" t="s">
        <v>38</v>
      </c>
      <c r="C9" s="19" t="s">
        <v>63</v>
      </c>
      <c r="D9" s="3" t="s">
        <v>63</v>
      </c>
      <c r="E9" s="11" t="s">
        <v>63</v>
      </c>
      <c r="F9" s="3" t="s">
        <v>63</v>
      </c>
      <c r="G9" s="11"/>
      <c r="H9" s="11" t="s">
        <v>63</v>
      </c>
      <c r="I9" s="11" t="s">
        <v>63</v>
      </c>
      <c r="J9" s="3" t="s">
        <v>63</v>
      </c>
      <c r="K9" s="11" t="s">
        <v>63</v>
      </c>
      <c r="L9" s="3" t="s">
        <v>63</v>
      </c>
      <c r="M9" s="11" t="s">
        <v>63</v>
      </c>
      <c r="N9" s="11"/>
      <c r="O9" s="11" t="s">
        <v>63</v>
      </c>
      <c r="P9" s="11" t="s">
        <v>63</v>
      </c>
      <c r="Q9" s="3" t="s">
        <v>63</v>
      </c>
      <c r="R9" s="11" t="s">
        <v>63</v>
      </c>
      <c r="S9" s="3" t="s">
        <v>63</v>
      </c>
      <c r="T9" s="3" t="s">
        <v>61</v>
      </c>
      <c r="U9" s="11"/>
      <c r="V9" s="11" t="s">
        <v>63</v>
      </c>
      <c r="W9" s="3" t="s">
        <v>63</v>
      </c>
      <c r="X9" s="11" t="s">
        <v>63</v>
      </c>
      <c r="Y9" s="11" t="s">
        <v>63</v>
      </c>
      <c r="Z9" s="11" t="s">
        <v>63</v>
      </c>
      <c r="AA9" s="11" t="s">
        <v>63</v>
      </c>
      <c r="AB9" s="11"/>
      <c r="AC9" s="3" t="s">
        <v>63</v>
      </c>
      <c r="AD9" s="3" t="s">
        <v>63</v>
      </c>
      <c r="AE9" s="3" t="s">
        <v>63</v>
      </c>
      <c r="AF9" s="3" t="s">
        <v>63</v>
      </c>
      <c r="AG9" s="11"/>
      <c r="AH9" s="11">
        <f t="shared" si="2"/>
        <v>31</v>
      </c>
      <c r="AI9" s="11">
        <f t="shared" si="3"/>
        <v>25</v>
      </c>
      <c r="AJ9" s="11">
        <f t="shared" si="4"/>
        <v>0</v>
      </c>
      <c r="AK9" s="11">
        <f t="shared" si="5"/>
        <v>1</v>
      </c>
      <c r="AL9" s="12">
        <f t="shared" si="6"/>
        <v>0</v>
      </c>
    </row>
    <row r="10" spans="1:41" x14ac:dyDescent="0.25">
      <c r="A10" s="10" t="s">
        <v>19</v>
      </c>
      <c r="B10" s="17" t="s">
        <v>39</v>
      </c>
      <c r="C10" s="19" t="s">
        <v>63</v>
      </c>
      <c r="D10" s="11" t="s">
        <v>63</v>
      </c>
      <c r="E10" s="3" t="s">
        <v>63</v>
      </c>
      <c r="F10" s="3" t="s">
        <v>63</v>
      </c>
      <c r="G10" s="11"/>
      <c r="H10" s="11" t="s">
        <v>63</v>
      </c>
      <c r="I10" s="11" t="s">
        <v>63</v>
      </c>
      <c r="J10" s="3" t="s">
        <v>63</v>
      </c>
      <c r="K10" s="11" t="s">
        <v>63</v>
      </c>
      <c r="L10" s="3" t="s">
        <v>63</v>
      </c>
      <c r="M10" s="11" t="s">
        <v>63</v>
      </c>
      <c r="N10" s="11"/>
      <c r="O10" s="11" t="s">
        <v>63</v>
      </c>
      <c r="P10" s="11" t="s">
        <v>63</v>
      </c>
      <c r="Q10" s="11" t="s">
        <v>63</v>
      </c>
      <c r="R10" s="11" t="s">
        <v>63</v>
      </c>
      <c r="S10" s="11" t="s">
        <v>61</v>
      </c>
      <c r="T10" s="3" t="s">
        <v>61</v>
      </c>
      <c r="U10" s="11"/>
      <c r="V10" s="11" t="s">
        <v>63</v>
      </c>
      <c r="W10" s="11" t="s">
        <v>61</v>
      </c>
      <c r="X10" s="11" t="s">
        <v>63</v>
      </c>
      <c r="Y10" s="11" t="s">
        <v>63</v>
      </c>
      <c r="Z10" s="11" t="s">
        <v>63</v>
      </c>
      <c r="AA10" s="11" t="s">
        <v>63</v>
      </c>
      <c r="AB10" s="11"/>
      <c r="AC10" s="3" t="s">
        <v>63</v>
      </c>
      <c r="AD10" s="3" t="s">
        <v>63</v>
      </c>
      <c r="AE10" s="3" t="s">
        <v>63</v>
      </c>
      <c r="AF10" s="3" t="s">
        <v>63</v>
      </c>
      <c r="AG10" s="11"/>
      <c r="AH10" s="11">
        <f t="shared" si="2"/>
        <v>31</v>
      </c>
      <c r="AI10" s="11">
        <f t="shared" si="3"/>
        <v>23</v>
      </c>
      <c r="AJ10" s="11">
        <f t="shared" si="4"/>
        <v>0</v>
      </c>
      <c r="AK10" s="11">
        <f t="shared" si="5"/>
        <v>3</v>
      </c>
      <c r="AL10" s="12">
        <f t="shared" si="6"/>
        <v>0</v>
      </c>
    </row>
    <row r="11" spans="1:41" x14ac:dyDescent="0.25">
      <c r="A11" s="10" t="s">
        <v>20</v>
      </c>
      <c r="B11" s="17" t="s">
        <v>40</v>
      </c>
      <c r="C11" s="19" t="s">
        <v>63</v>
      </c>
      <c r="D11" s="11" t="s">
        <v>63</v>
      </c>
      <c r="E11" s="3" t="s">
        <v>63</v>
      </c>
      <c r="F11" s="3" t="s">
        <v>63</v>
      </c>
      <c r="G11" s="11"/>
      <c r="H11" s="11" t="s">
        <v>63</v>
      </c>
      <c r="I11" s="11" t="s">
        <v>63</v>
      </c>
      <c r="J11" s="11" t="s">
        <v>61</v>
      </c>
      <c r="K11" s="11" t="s">
        <v>63</v>
      </c>
      <c r="L11" s="3" t="s">
        <v>63</v>
      </c>
      <c r="M11" s="11" t="s">
        <v>63</v>
      </c>
      <c r="N11" s="11"/>
      <c r="O11" s="11" t="s">
        <v>63</v>
      </c>
      <c r="P11" s="11" t="s">
        <v>63</v>
      </c>
      <c r="Q11" s="3" t="s">
        <v>63</v>
      </c>
      <c r="R11" s="11" t="s">
        <v>63</v>
      </c>
      <c r="S11" s="3" t="s">
        <v>63</v>
      </c>
      <c r="T11" s="3" t="s">
        <v>61</v>
      </c>
      <c r="U11" s="11"/>
      <c r="V11" s="3" t="s">
        <v>63</v>
      </c>
      <c r="W11" s="3" t="s">
        <v>63</v>
      </c>
      <c r="X11" s="11" t="s">
        <v>63</v>
      </c>
      <c r="Y11" s="11" t="s">
        <v>63</v>
      </c>
      <c r="Z11" s="11" t="s">
        <v>63</v>
      </c>
      <c r="AA11" s="11" t="s">
        <v>63</v>
      </c>
      <c r="AB11" s="11"/>
      <c r="AC11" s="3" t="s">
        <v>63</v>
      </c>
      <c r="AD11" s="3" t="s">
        <v>63</v>
      </c>
      <c r="AE11" s="3" t="s">
        <v>63</v>
      </c>
      <c r="AF11" s="3" t="s">
        <v>63</v>
      </c>
      <c r="AG11" s="11"/>
      <c r="AH11" s="11">
        <f t="shared" si="2"/>
        <v>31</v>
      </c>
      <c r="AI11" s="11">
        <f t="shared" si="3"/>
        <v>24</v>
      </c>
      <c r="AJ11" s="11">
        <f t="shared" si="4"/>
        <v>0</v>
      </c>
      <c r="AK11" s="11">
        <f t="shared" si="5"/>
        <v>2</v>
      </c>
      <c r="AL11" s="12">
        <f t="shared" si="6"/>
        <v>0</v>
      </c>
    </row>
    <row r="12" spans="1:41" x14ac:dyDescent="0.25">
      <c r="A12" s="10" t="s">
        <v>21</v>
      </c>
      <c r="B12" s="17" t="s">
        <v>41</v>
      </c>
      <c r="C12" s="19" t="s">
        <v>63</v>
      </c>
      <c r="D12" s="11" t="s">
        <v>63</v>
      </c>
      <c r="E12" s="11" t="s">
        <v>62</v>
      </c>
      <c r="F12" s="3" t="s">
        <v>63</v>
      </c>
      <c r="G12" s="11"/>
      <c r="H12" s="11" t="s">
        <v>63</v>
      </c>
      <c r="I12" s="11" t="s">
        <v>63</v>
      </c>
      <c r="J12" s="3" t="s">
        <v>63</v>
      </c>
      <c r="K12" s="11" t="s">
        <v>63</v>
      </c>
      <c r="L12" s="3" t="s">
        <v>63</v>
      </c>
      <c r="M12" s="11" t="s">
        <v>63</v>
      </c>
      <c r="N12" s="11"/>
      <c r="O12" s="11" t="s">
        <v>62</v>
      </c>
      <c r="P12" s="11" t="s">
        <v>63</v>
      </c>
      <c r="Q12" s="3" t="s">
        <v>63</v>
      </c>
      <c r="R12" s="11" t="s">
        <v>63</v>
      </c>
      <c r="S12" s="3" t="s">
        <v>62</v>
      </c>
      <c r="T12" s="3" t="s">
        <v>61</v>
      </c>
      <c r="U12" s="11"/>
      <c r="V12" s="3" t="s">
        <v>63</v>
      </c>
      <c r="W12" s="3" t="s">
        <v>63</v>
      </c>
      <c r="X12" s="11" t="s">
        <v>63</v>
      </c>
      <c r="Y12" s="11" t="s">
        <v>63</v>
      </c>
      <c r="Z12" s="11" t="s">
        <v>63</v>
      </c>
      <c r="AA12" s="11" t="s">
        <v>63</v>
      </c>
      <c r="AB12" s="11"/>
      <c r="AC12" s="3" t="s">
        <v>63</v>
      </c>
      <c r="AD12" s="3" t="s">
        <v>63</v>
      </c>
      <c r="AE12" s="3" t="s">
        <v>63</v>
      </c>
      <c r="AF12" s="3" t="s">
        <v>63</v>
      </c>
      <c r="AG12" s="11"/>
      <c r="AH12" s="11">
        <f t="shared" si="2"/>
        <v>31</v>
      </c>
      <c r="AI12" s="11">
        <f t="shared" si="3"/>
        <v>22</v>
      </c>
      <c r="AJ12" s="11">
        <f t="shared" si="4"/>
        <v>3</v>
      </c>
      <c r="AK12" s="11">
        <f t="shared" si="5"/>
        <v>1</v>
      </c>
      <c r="AL12" s="12">
        <f t="shared" si="6"/>
        <v>0</v>
      </c>
    </row>
    <row r="13" spans="1:41" x14ac:dyDescent="0.25">
      <c r="A13" s="10" t="s">
        <v>22</v>
      </c>
      <c r="B13" s="17" t="s">
        <v>42</v>
      </c>
      <c r="C13" s="19" t="s">
        <v>63</v>
      </c>
      <c r="D13" s="11" t="s">
        <v>63</v>
      </c>
      <c r="E13" s="11" t="s">
        <v>63</v>
      </c>
      <c r="F13" s="3" t="s">
        <v>63</v>
      </c>
      <c r="G13" s="11"/>
      <c r="H13" s="11" t="s">
        <v>63</v>
      </c>
      <c r="I13" s="11" t="s">
        <v>63</v>
      </c>
      <c r="J13" s="3" t="s">
        <v>63</v>
      </c>
      <c r="K13" s="11" t="s">
        <v>63</v>
      </c>
      <c r="L13" s="3" t="s">
        <v>63</v>
      </c>
      <c r="M13" s="11" t="s">
        <v>63</v>
      </c>
      <c r="N13" s="11"/>
      <c r="O13" s="3" t="s">
        <v>63</v>
      </c>
      <c r="P13" s="11" t="s">
        <v>63</v>
      </c>
      <c r="Q13" s="11" t="s">
        <v>62</v>
      </c>
      <c r="R13" s="11" t="s">
        <v>63</v>
      </c>
      <c r="S13" s="11" t="s">
        <v>61</v>
      </c>
      <c r="T13" s="3" t="s">
        <v>61</v>
      </c>
      <c r="U13" s="11"/>
      <c r="V13" s="3" t="s">
        <v>63</v>
      </c>
      <c r="W13" s="3" t="s">
        <v>63</v>
      </c>
      <c r="X13" s="11" t="s">
        <v>63</v>
      </c>
      <c r="Y13" s="11" t="s">
        <v>63</v>
      </c>
      <c r="Z13" s="11" t="s">
        <v>63</v>
      </c>
      <c r="AA13" s="11" t="s">
        <v>63</v>
      </c>
      <c r="AB13" s="11"/>
      <c r="AC13" s="3" t="s">
        <v>63</v>
      </c>
      <c r="AD13" s="3" t="s">
        <v>63</v>
      </c>
      <c r="AE13" s="3" t="s">
        <v>63</v>
      </c>
      <c r="AF13" s="3" t="s">
        <v>63</v>
      </c>
      <c r="AG13" s="11"/>
      <c r="AH13" s="11">
        <f t="shared" si="2"/>
        <v>31</v>
      </c>
      <c r="AI13" s="11">
        <f t="shared" si="3"/>
        <v>23</v>
      </c>
      <c r="AJ13" s="11">
        <f t="shared" si="4"/>
        <v>1</v>
      </c>
      <c r="AK13" s="11">
        <f t="shared" si="5"/>
        <v>2</v>
      </c>
      <c r="AL13" s="12">
        <f t="shared" si="6"/>
        <v>0</v>
      </c>
    </row>
    <row r="14" spans="1:41" x14ac:dyDescent="0.25">
      <c r="A14" s="10" t="s">
        <v>23</v>
      </c>
      <c r="B14" s="17" t="s">
        <v>43</v>
      </c>
      <c r="C14" s="19" t="s">
        <v>63</v>
      </c>
      <c r="D14" s="11" t="s">
        <v>63</v>
      </c>
      <c r="E14" s="11" t="s">
        <v>63</v>
      </c>
      <c r="F14" s="3" t="s">
        <v>61</v>
      </c>
      <c r="G14" s="11"/>
      <c r="H14" s="11" t="s">
        <v>63</v>
      </c>
      <c r="I14" s="11" t="s">
        <v>63</v>
      </c>
      <c r="J14" s="3" t="s">
        <v>63</v>
      </c>
      <c r="K14" s="11" t="s">
        <v>63</v>
      </c>
      <c r="L14" s="3" t="s">
        <v>63</v>
      </c>
      <c r="M14" s="11" t="s">
        <v>63</v>
      </c>
      <c r="N14" s="11"/>
      <c r="O14" s="3" t="s">
        <v>63</v>
      </c>
      <c r="P14" s="11" t="s">
        <v>62</v>
      </c>
      <c r="Q14" s="3" t="s">
        <v>61</v>
      </c>
      <c r="R14" s="11" t="s">
        <v>63</v>
      </c>
      <c r="S14" s="3" t="s">
        <v>63</v>
      </c>
      <c r="T14" s="3" t="s">
        <v>61</v>
      </c>
      <c r="U14" s="11"/>
      <c r="V14" s="11" t="s">
        <v>61</v>
      </c>
      <c r="W14" s="3" t="s">
        <v>63</v>
      </c>
      <c r="X14" s="11" t="s">
        <v>63</v>
      </c>
      <c r="Y14" s="11" t="s">
        <v>63</v>
      </c>
      <c r="Z14" s="11" t="s">
        <v>63</v>
      </c>
      <c r="AA14" s="11" t="s">
        <v>63</v>
      </c>
      <c r="AB14" s="11"/>
      <c r="AC14" s="3" t="s">
        <v>63</v>
      </c>
      <c r="AD14" s="3" t="s">
        <v>63</v>
      </c>
      <c r="AE14" s="3" t="s">
        <v>63</v>
      </c>
      <c r="AF14" s="3" t="s">
        <v>63</v>
      </c>
      <c r="AG14" s="11"/>
      <c r="AH14" s="11">
        <f t="shared" si="2"/>
        <v>31</v>
      </c>
      <c r="AI14" s="11">
        <f t="shared" si="3"/>
        <v>21</v>
      </c>
      <c r="AJ14" s="11">
        <f t="shared" si="4"/>
        <v>1</v>
      </c>
      <c r="AK14" s="11">
        <f t="shared" si="5"/>
        <v>4</v>
      </c>
      <c r="AL14" s="12">
        <f t="shared" si="6"/>
        <v>0</v>
      </c>
    </row>
    <row r="15" spans="1:41" x14ac:dyDescent="0.25">
      <c r="A15" s="10" t="s">
        <v>24</v>
      </c>
      <c r="B15" s="17" t="s">
        <v>44</v>
      </c>
      <c r="C15" s="19" t="s">
        <v>63</v>
      </c>
      <c r="D15" s="11" t="s">
        <v>63</v>
      </c>
      <c r="E15" s="11" t="s">
        <v>63</v>
      </c>
      <c r="F15" s="3" t="s">
        <v>63</v>
      </c>
      <c r="G15" s="11"/>
      <c r="H15" s="11" t="s">
        <v>63</v>
      </c>
      <c r="I15" s="11" t="s">
        <v>63</v>
      </c>
      <c r="J15" s="3" t="s">
        <v>63</v>
      </c>
      <c r="K15" s="11" t="s">
        <v>63</v>
      </c>
      <c r="L15" s="3" t="s">
        <v>63</v>
      </c>
      <c r="M15" s="11" t="s">
        <v>63</v>
      </c>
      <c r="N15" s="11"/>
      <c r="O15" s="3" t="s">
        <v>63</v>
      </c>
      <c r="P15" s="3" t="s">
        <v>63</v>
      </c>
      <c r="Q15" s="3" t="s">
        <v>63</v>
      </c>
      <c r="R15" s="11" t="s">
        <v>63</v>
      </c>
      <c r="S15" s="3" t="s">
        <v>63</v>
      </c>
      <c r="T15" s="3" t="s">
        <v>61</v>
      </c>
      <c r="U15" s="11"/>
      <c r="V15" s="3" t="s">
        <v>63</v>
      </c>
      <c r="W15" s="3" t="s">
        <v>63</v>
      </c>
      <c r="X15" s="11" t="s">
        <v>63</v>
      </c>
      <c r="Y15" s="11" t="s">
        <v>63</v>
      </c>
      <c r="Z15" s="11" t="s">
        <v>63</v>
      </c>
      <c r="AA15" s="11" t="s">
        <v>63</v>
      </c>
      <c r="AB15" s="11"/>
      <c r="AC15" s="3" t="s">
        <v>63</v>
      </c>
      <c r="AD15" s="3" t="s">
        <v>63</v>
      </c>
      <c r="AE15" s="3" t="s">
        <v>63</v>
      </c>
      <c r="AF15" s="3" t="s">
        <v>63</v>
      </c>
      <c r="AG15" s="11"/>
      <c r="AH15" s="11">
        <f t="shared" si="2"/>
        <v>31</v>
      </c>
      <c r="AI15" s="11">
        <f t="shared" si="3"/>
        <v>25</v>
      </c>
      <c r="AJ15" s="11">
        <f t="shared" si="4"/>
        <v>0</v>
      </c>
      <c r="AK15" s="11">
        <f t="shared" si="5"/>
        <v>1</v>
      </c>
      <c r="AL15" s="12">
        <f t="shared" si="6"/>
        <v>0</v>
      </c>
    </row>
    <row r="16" spans="1:41" x14ac:dyDescent="0.25">
      <c r="A16" s="10" t="s">
        <v>25</v>
      </c>
      <c r="B16" s="17" t="s">
        <v>45</v>
      </c>
      <c r="C16" s="19" t="s">
        <v>63</v>
      </c>
      <c r="D16" s="11" t="s">
        <v>63</v>
      </c>
      <c r="E16" s="11" t="s">
        <v>63</v>
      </c>
      <c r="F16" s="3" t="s">
        <v>63</v>
      </c>
      <c r="G16" s="11"/>
      <c r="H16" s="11" t="s">
        <v>63</v>
      </c>
      <c r="I16" s="11" t="s">
        <v>63</v>
      </c>
      <c r="J16" s="3" t="s">
        <v>63</v>
      </c>
      <c r="K16" s="11" t="s">
        <v>63</v>
      </c>
      <c r="L16" s="3" t="s">
        <v>63</v>
      </c>
      <c r="M16" s="11" t="s">
        <v>63</v>
      </c>
      <c r="N16" s="11"/>
      <c r="O16" s="3" t="s">
        <v>63</v>
      </c>
      <c r="P16" s="3" t="s">
        <v>63</v>
      </c>
      <c r="Q16" s="3" t="s">
        <v>63</v>
      </c>
      <c r="R16" s="11" t="s">
        <v>63</v>
      </c>
      <c r="S16" s="3" t="s">
        <v>63</v>
      </c>
      <c r="T16" s="3" t="s">
        <v>61</v>
      </c>
      <c r="U16" s="11"/>
      <c r="V16" s="3" t="s">
        <v>63</v>
      </c>
      <c r="W16" s="3" t="s">
        <v>63</v>
      </c>
      <c r="X16" s="11" t="s">
        <v>63</v>
      </c>
      <c r="Y16" s="11" t="s">
        <v>63</v>
      </c>
      <c r="Z16" s="11" t="s">
        <v>62</v>
      </c>
      <c r="AA16" s="11" t="s">
        <v>63</v>
      </c>
      <c r="AB16" s="11"/>
      <c r="AC16" s="3" t="s">
        <v>63</v>
      </c>
      <c r="AD16" s="3" t="s">
        <v>63</v>
      </c>
      <c r="AE16" s="3" t="s">
        <v>63</v>
      </c>
      <c r="AF16" s="3" t="s">
        <v>63</v>
      </c>
      <c r="AG16" s="11"/>
      <c r="AH16" s="11">
        <f t="shared" si="2"/>
        <v>31</v>
      </c>
      <c r="AI16" s="11">
        <f t="shared" si="3"/>
        <v>24</v>
      </c>
      <c r="AJ16" s="11">
        <f t="shared" si="4"/>
        <v>1</v>
      </c>
      <c r="AK16" s="11">
        <f t="shared" si="5"/>
        <v>1</v>
      </c>
      <c r="AL16" s="12">
        <f t="shared" si="6"/>
        <v>0</v>
      </c>
    </row>
    <row r="17" spans="1:38" x14ac:dyDescent="0.25">
      <c r="A17" s="10" t="s">
        <v>26</v>
      </c>
      <c r="B17" s="17" t="s">
        <v>46</v>
      </c>
      <c r="C17" s="19" t="s">
        <v>63</v>
      </c>
      <c r="D17" s="11" t="s">
        <v>63</v>
      </c>
      <c r="E17" s="11" t="s">
        <v>63</v>
      </c>
      <c r="F17" s="3" t="s">
        <v>63</v>
      </c>
      <c r="G17" s="11"/>
      <c r="H17" s="11" t="s">
        <v>63</v>
      </c>
      <c r="I17" s="11" t="s">
        <v>62</v>
      </c>
      <c r="J17" s="3" t="s">
        <v>63</v>
      </c>
      <c r="K17" s="11" t="s">
        <v>63</v>
      </c>
      <c r="L17" s="3" t="s">
        <v>63</v>
      </c>
      <c r="M17" s="11" t="s">
        <v>63</v>
      </c>
      <c r="N17" s="11"/>
      <c r="O17" s="3" t="s">
        <v>63</v>
      </c>
      <c r="P17" s="3" t="s">
        <v>63</v>
      </c>
      <c r="Q17" s="3" t="s">
        <v>63</v>
      </c>
      <c r="R17" s="11" t="s">
        <v>63</v>
      </c>
      <c r="S17" s="11" t="s">
        <v>61</v>
      </c>
      <c r="T17" s="3" t="s">
        <v>61</v>
      </c>
      <c r="U17" s="11"/>
      <c r="V17" s="3" t="s">
        <v>63</v>
      </c>
      <c r="W17" s="3" t="s">
        <v>63</v>
      </c>
      <c r="X17" s="11" t="s">
        <v>63</v>
      </c>
      <c r="Y17" s="11" t="s">
        <v>63</v>
      </c>
      <c r="Z17" s="3" t="s">
        <v>63</v>
      </c>
      <c r="AA17" s="11" t="s">
        <v>63</v>
      </c>
      <c r="AB17" s="11"/>
      <c r="AC17" s="3" t="s">
        <v>63</v>
      </c>
      <c r="AD17" s="3" t="s">
        <v>63</v>
      </c>
      <c r="AE17" s="3" t="s">
        <v>63</v>
      </c>
      <c r="AF17" s="3" t="s">
        <v>63</v>
      </c>
      <c r="AG17" s="11"/>
      <c r="AH17" s="11">
        <f t="shared" si="2"/>
        <v>31</v>
      </c>
      <c r="AI17" s="11">
        <f t="shared" si="3"/>
        <v>23</v>
      </c>
      <c r="AJ17" s="11">
        <f t="shared" si="4"/>
        <v>1</v>
      </c>
      <c r="AK17" s="11">
        <f t="shared" si="5"/>
        <v>2</v>
      </c>
      <c r="AL17" s="12">
        <f t="shared" si="6"/>
        <v>0</v>
      </c>
    </row>
    <row r="18" spans="1:38" x14ac:dyDescent="0.25">
      <c r="A18" s="10" t="s">
        <v>27</v>
      </c>
      <c r="B18" s="17" t="s">
        <v>47</v>
      </c>
      <c r="C18" s="19" t="s">
        <v>62</v>
      </c>
      <c r="D18" s="11" t="s">
        <v>63</v>
      </c>
      <c r="E18" s="3" t="s">
        <v>61</v>
      </c>
      <c r="F18" s="3" t="s">
        <v>63</v>
      </c>
      <c r="G18" s="11"/>
      <c r="H18" s="11" t="s">
        <v>63</v>
      </c>
      <c r="I18" s="3" t="s">
        <v>63</v>
      </c>
      <c r="J18" s="3" t="s">
        <v>63</v>
      </c>
      <c r="K18" s="11" t="s">
        <v>63</v>
      </c>
      <c r="L18" s="3" t="s">
        <v>63</v>
      </c>
      <c r="M18" s="11" t="s">
        <v>63</v>
      </c>
      <c r="N18" s="11"/>
      <c r="O18" s="3" t="s">
        <v>63</v>
      </c>
      <c r="P18" s="3" t="s">
        <v>63</v>
      </c>
      <c r="Q18" s="3" t="s">
        <v>63</v>
      </c>
      <c r="R18" s="11" t="s">
        <v>63</v>
      </c>
      <c r="S18" s="3" t="s">
        <v>63</v>
      </c>
      <c r="T18" s="3" t="s">
        <v>61</v>
      </c>
      <c r="U18" s="11"/>
      <c r="V18" s="3" t="s">
        <v>63</v>
      </c>
      <c r="W18" s="3" t="s">
        <v>63</v>
      </c>
      <c r="X18" s="11" t="s">
        <v>63</v>
      </c>
      <c r="Y18" s="11" t="s">
        <v>63</v>
      </c>
      <c r="Z18" s="3" t="s">
        <v>63</v>
      </c>
      <c r="AA18" s="11" t="s">
        <v>63</v>
      </c>
      <c r="AB18" s="11"/>
      <c r="AC18" s="3" t="s">
        <v>63</v>
      </c>
      <c r="AD18" s="3" t="s">
        <v>63</v>
      </c>
      <c r="AE18" s="3" t="s">
        <v>63</v>
      </c>
      <c r="AF18" s="3" t="s">
        <v>63</v>
      </c>
      <c r="AG18" s="11"/>
      <c r="AH18" s="11">
        <f t="shared" si="2"/>
        <v>31</v>
      </c>
      <c r="AI18" s="11">
        <f t="shared" si="3"/>
        <v>23</v>
      </c>
      <c r="AJ18" s="11">
        <f t="shared" si="4"/>
        <v>1</v>
      </c>
      <c r="AK18" s="11">
        <f t="shared" si="5"/>
        <v>2</v>
      </c>
      <c r="AL18" s="12">
        <f t="shared" si="6"/>
        <v>0</v>
      </c>
    </row>
    <row r="19" spans="1:38" x14ac:dyDescent="0.25">
      <c r="A19" s="10" t="s">
        <v>28</v>
      </c>
      <c r="B19" s="17" t="s">
        <v>48</v>
      </c>
      <c r="C19" s="19" t="s">
        <v>63</v>
      </c>
      <c r="D19" s="11" t="s">
        <v>63</v>
      </c>
      <c r="E19" s="11" t="s">
        <v>62</v>
      </c>
      <c r="F19" s="3" t="s">
        <v>63</v>
      </c>
      <c r="G19" s="11"/>
      <c r="H19" s="11" t="s">
        <v>63</v>
      </c>
      <c r="I19" s="3" t="s">
        <v>63</v>
      </c>
      <c r="J19" s="3" t="s">
        <v>63</v>
      </c>
      <c r="K19" s="11" t="s">
        <v>63</v>
      </c>
      <c r="L19" s="3" t="s">
        <v>63</v>
      </c>
      <c r="M19" s="11" t="s">
        <v>63</v>
      </c>
      <c r="N19" s="11"/>
      <c r="O19" s="3" t="s">
        <v>63</v>
      </c>
      <c r="P19" s="3" t="s">
        <v>63</v>
      </c>
      <c r="Q19" s="3" t="s">
        <v>63</v>
      </c>
      <c r="R19" s="11" t="s">
        <v>63</v>
      </c>
      <c r="S19" s="3" t="s">
        <v>63</v>
      </c>
      <c r="T19" s="3" t="s">
        <v>61</v>
      </c>
      <c r="U19" s="11"/>
      <c r="V19" s="3" t="s">
        <v>63</v>
      </c>
      <c r="W19" s="3" t="s">
        <v>63</v>
      </c>
      <c r="X19" s="11" t="s">
        <v>63</v>
      </c>
      <c r="Y19" s="11" t="s">
        <v>63</v>
      </c>
      <c r="Z19" s="3" t="s">
        <v>63</v>
      </c>
      <c r="AA19" s="11" t="s">
        <v>63</v>
      </c>
      <c r="AB19" s="11"/>
      <c r="AC19" s="3" t="s">
        <v>63</v>
      </c>
      <c r="AD19" s="3" t="s">
        <v>63</v>
      </c>
      <c r="AE19" s="3" t="s">
        <v>63</v>
      </c>
      <c r="AF19" s="3" t="s">
        <v>63</v>
      </c>
      <c r="AG19" s="11"/>
      <c r="AH19" s="11">
        <f t="shared" si="2"/>
        <v>31</v>
      </c>
      <c r="AI19" s="11">
        <f t="shared" si="3"/>
        <v>24</v>
      </c>
      <c r="AJ19" s="11">
        <f t="shared" si="4"/>
        <v>1</v>
      </c>
      <c r="AK19" s="11">
        <f t="shared" si="5"/>
        <v>1</v>
      </c>
      <c r="AL19" s="12">
        <f t="shared" si="6"/>
        <v>0</v>
      </c>
    </row>
    <row r="20" spans="1:38" x14ac:dyDescent="0.25">
      <c r="A20" s="10" t="s">
        <v>29</v>
      </c>
      <c r="B20" s="17" t="s">
        <v>49</v>
      </c>
      <c r="C20" s="19" t="s">
        <v>63</v>
      </c>
      <c r="D20" s="11" t="s">
        <v>63</v>
      </c>
      <c r="E20" s="3" t="s">
        <v>63</v>
      </c>
      <c r="F20" s="3" t="s">
        <v>63</v>
      </c>
      <c r="G20" s="11"/>
      <c r="H20" s="11" t="s">
        <v>63</v>
      </c>
      <c r="I20" s="3" t="s">
        <v>63</v>
      </c>
      <c r="J20" s="3" t="s">
        <v>63</v>
      </c>
      <c r="K20" s="11" t="s">
        <v>63</v>
      </c>
      <c r="L20" s="3" t="s">
        <v>63</v>
      </c>
      <c r="M20" s="11" t="s">
        <v>63</v>
      </c>
      <c r="N20" s="11" t="s">
        <v>62</v>
      </c>
      <c r="O20" s="3" t="s">
        <v>63</v>
      </c>
      <c r="P20" s="3" t="s">
        <v>63</v>
      </c>
      <c r="Q20" s="3" t="s">
        <v>63</v>
      </c>
      <c r="R20" s="11" t="s">
        <v>63</v>
      </c>
      <c r="S20" s="3" t="s">
        <v>63</v>
      </c>
      <c r="T20" s="3" t="s">
        <v>61</v>
      </c>
      <c r="U20" s="11"/>
      <c r="V20" s="3" t="s">
        <v>63</v>
      </c>
      <c r="W20" s="3" t="s">
        <v>63</v>
      </c>
      <c r="X20" s="11" t="s">
        <v>63</v>
      </c>
      <c r="Y20" s="11" t="s">
        <v>63</v>
      </c>
      <c r="Z20" s="3" t="s">
        <v>63</v>
      </c>
      <c r="AA20" s="11" t="s">
        <v>63</v>
      </c>
      <c r="AB20" s="11"/>
      <c r="AC20" s="3" t="s">
        <v>63</v>
      </c>
      <c r="AD20" s="3" t="s">
        <v>63</v>
      </c>
      <c r="AE20" s="3" t="s">
        <v>63</v>
      </c>
      <c r="AF20" s="3" t="s">
        <v>63</v>
      </c>
      <c r="AG20" s="11"/>
      <c r="AH20" s="11">
        <f t="shared" si="2"/>
        <v>31</v>
      </c>
      <c r="AI20" s="11">
        <f t="shared" si="3"/>
        <v>25</v>
      </c>
      <c r="AJ20" s="11">
        <f t="shared" si="4"/>
        <v>1</v>
      </c>
      <c r="AK20" s="11">
        <f t="shared" si="5"/>
        <v>1</v>
      </c>
      <c r="AL20" s="12">
        <f t="shared" si="6"/>
        <v>0</v>
      </c>
    </row>
    <row r="21" spans="1:38" x14ac:dyDescent="0.25">
      <c r="A21" s="10" t="s">
        <v>30</v>
      </c>
      <c r="B21" s="17" t="s">
        <v>50</v>
      </c>
      <c r="C21" s="19" t="s">
        <v>63</v>
      </c>
      <c r="D21" s="11" t="s">
        <v>63</v>
      </c>
      <c r="E21" s="3" t="s">
        <v>63</v>
      </c>
      <c r="F21" s="3" t="s">
        <v>63</v>
      </c>
      <c r="G21" s="11"/>
      <c r="H21" s="11" t="s">
        <v>63</v>
      </c>
      <c r="I21" s="3" t="s">
        <v>63</v>
      </c>
      <c r="J21" s="3" t="s">
        <v>63</v>
      </c>
      <c r="K21" s="11" t="s">
        <v>63</v>
      </c>
      <c r="L21" s="3" t="s">
        <v>63</v>
      </c>
      <c r="M21" s="11" t="s">
        <v>63</v>
      </c>
      <c r="N21" s="11"/>
      <c r="O21" s="3" t="s">
        <v>63</v>
      </c>
      <c r="P21" s="3" t="s">
        <v>63</v>
      </c>
      <c r="Q21" s="3" t="s">
        <v>63</v>
      </c>
      <c r="R21" s="11" t="s">
        <v>63</v>
      </c>
      <c r="S21" s="11" t="s">
        <v>61</v>
      </c>
      <c r="T21" s="3" t="s">
        <v>61</v>
      </c>
      <c r="U21" s="11"/>
      <c r="V21" s="3" t="s">
        <v>63</v>
      </c>
      <c r="W21" s="3" t="s">
        <v>63</v>
      </c>
      <c r="X21" s="11" t="s">
        <v>63</v>
      </c>
      <c r="Y21" s="11" t="s">
        <v>63</v>
      </c>
      <c r="Z21" s="3" t="s">
        <v>63</v>
      </c>
      <c r="AA21" s="11" t="s">
        <v>63</v>
      </c>
      <c r="AB21" s="11"/>
      <c r="AC21" s="3" t="s">
        <v>63</v>
      </c>
      <c r="AD21" s="3" t="s">
        <v>63</v>
      </c>
      <c r="AE21" s="3" t="s">
        <v>63</v>
      </c>
      <c r="AF21" s="3" t="s">
        <v>63</v>
      </c>
      <c r="AG21" s="11"/>
      <c r="AH21" s="11">
        <f t="shared" si="2"/>
        <v>31</v>
      </c>
      <c r="AI21" s="11">
        <f t="shared" si="3"/>
        <v>24</v>
      </c>
      <c r="AJ21" s="11">
        <f t="shared" si="4"/>
        <v>0</v>
      </c>
      <c r="AK21" s="11">
        <f t="shared" si="5"/>
        <v>2</v>
      </c>
      <c r="AL21" s="12">
        <f t="shared" si="6"/>
        <v>0</v>
      </c>
    </row>
    <row r="22" spans="1:38" x14ac:dyDescent="0.25">
      <c r="A22" s="10" t="s">
        <v>31</v>
      </c>
      <c r="B22" s="17" t="s">
        <v>51</v>
      </c>
      <c r="C22" s="19" t="s">
        <v>63</v>
      </c>
      <c r="D22" s="11" t="s">
        <v>63</v>
      </c>
      <c r="E22" s="3" t="s">
        <v>63</v>
      </c>
      <c r="F22" s="3" t="s">
        <v>63</v>
      </c>
      <c r="G22" s="11"/>
      <c r="H22" s="11" t="s">
        <v>63</v>
      </c>
      <c r="I22" s="3" t="s">
        <v>63</v>
      </c>
      <c r="J22" s="3" t="s">
        <v>63</v>
      </c>
      <c r="K22" s="11" t="s">
        <v>63</v>
      </c>
      <c r="L22" s="3" t="s">
        <v>63</v>
      </c>
      <c r="M22" s="11" t="s">
        <v>63</v>
      </c>
      <c r="N22" s="11"/>
      <c r="O22" s="3" t="s">
        <v>63</v>
      </c>
      <c r="P22" s="3" t="s">
        <v>63</v>
      </c>
      <c r="Q22" s="3" t="s">
        <v>63</v>
      </c>
      <c r="R22" s="11" t="s">
        <v>63</v>
      </c>
      <c r="S22" s="3" t="s">
        <v>63</v>
      </c>
      <c r="T22" s="3" t="s">
        <v>61</v>
      </c>
      <c r="U22" s="11"/>
      <c r="V22" s="3" t="s">
        <v>63</v>
      </c>
      <c r="W22" s="3" t="s">
        <v>63</v>
      </c>
      <c r="X22" s="11" t="s">
        <v>63</v>
      </c>
      <c r="Y22" s="11" t="s">
        <v>63</v>
      </c>
      <c r="Z22" s="3" t="s">
        <v>63</v>
      </c>
      <c r="AA22" s="11" t="s">
        <v>63</v>
      </c>
      <c r="AB22" s="11"/>
      <c r="AC22" s="3" t="s">
        <v>63</v>
      </c>
      <c r="AD22" s="3" t="s">
        <v>63</v>
      </c>
      <c r="AE22" s="3" t="s">
        <v>63</v>
      </c>
      <c r="AF22" s="3" t="s">
        <v>63</v>
      </c>
      <c r="AG22" s="11"/>
      <c r="AH22" s="11">
        <f t="shared" si="2"/>
        <v>31</v>
      </c>
      <c r="AI22" s="11">
        <f t="shared" si="3"/>
        <v>25</v>
      </c>
      <c r="AJ22" s="11">
        <f t="shared" si="4"/>
        <v>0</v>
      </c>
      <c r="AK22" s="11">
        <f t="shared" si="5"/>
        <v>1</v>
      </c>
      <c r="AL22" s="12">
        <f t="shared" si="6"/>
        <v>0</v>
      </c>
    </row>
    <row r="23" spans="1:38" x14ac:dyDescent="0.25">
      <c r="A23" s="10" t="s">
        <v>32</v>
      </c>
      <c r="B23" s="17" t="s">
        <v>52</v>
      </c>
      <c r="C23" s="19" t="s">
        <v>62</v>
      </c>
      <c r="D23" s="11" t="s">
        <v>63</v>
      </c>
      <c r="E23" s="3" t="s">
        <v>63</v>
      </c>
      <c r="F23" s="3" t="s">
        <v>63</v>
      </c>
      <c r="G23" s="11"/>
      <c r="H23" s="11" t="s">
        <v>63</v>
      </c>
      <c r="I23" s="3" t="s">
        <v>63</v>
      </c>
      <c r="J23" s="11" t="s">
        <v>62</v>
      </c>
      <c r="K23" s="11" t="s">
        <v>63</v>
      </c>
      <c r="L23" s="3" t="s">
        <v>63</v>
      </c>
      <c r="M23" s="11" t="s">
        <v>63</v>
      </c>
      <c r="N23" s="11"/>
      <c r="O23" s="11" t="s">
        <v>62</v>
      </c>
      <c r="P23" s="3" t="s">
        <v>63</v>
      </c>
      <c r="Q23" s="3" t="s">
        <v>63</v>
      </c>
      <c r="R23" s="11" t="s">
        <v>63</v>
      </c>
      <c r="S23" s="3" t="s">
        <v>63</v>
      </c>
      <c r="T23" s="3" t="s">
        <v>61</v>
      </c>
      <c r="U23" s="11"/>
      <c r="V23" s="3" t="s">
        <v>63</v>
      </c>
      <c r="W23" s="3" t="s">
        <v>63</v>
      </c>
      <c r="X23" s="11" t="s">
        <v>63</v>
      </c>
      <c r="Y23" s="11" t="s">
        <v>63</v>
      </c>
      <c r="Z23" s="3" t="s">
        <v>63</v>
      </c>
      <c r="AA23" s="11" t="s">
        <v>63</v>
      </c>
      <c r="AB23" s="11"/>
      <c r="AC23" s="3" t="s">
        <v>63</v>
      </c>
      <c r="AD23" s="3" t="s">
        <v>63</v>
      </c>
      <c r="AE23" s="3" t="s">
        <v>63</v>
      </c>
      <c r="AF23" s="3" t="s">
        <v>63</v>
      </c>
      <c r="AG23" s="11"/>
      <c r="AH23" s="11">
        <f t="shared" si="2"/>
        <v>31</v>
      </c>
      <c r="AI23" s="11">
        <f t="shared" si="3"/>
        <v>22</v>
      </c>
      <c r="AJ23" s="11">
        <f t="shared" si="4"/>
        <v>3</v>
      </c>
      <c r="AK23" s="11">
        <f t="shared" si="5"/>
        <v>1</v>
      </c>
      <c r="AL23" s="12">
        <f t="shared" si="6"/>
        <v>0</v>
      </c>
    </row>
    <row r="24" spans="1:38" x14ac:dyDescent="0.25">
      <c r="A24" s="10" t="s">
        <v>33</v>
      </c>
      <c r="B24" s="17" t="s">
        <v>53</v>
      </c>
      <c r="C24" s="19" t="s">
        <v>63</v>
      </c>
      <c r="D24" s="11" t="s">
        <v>63</v>
      </c>
      <c r="E24" s="3" t="s">
        <v>63</v>
      </c>
      <c r="F24" s="3" t="s">
        <v>63</v>
      </c>
      <c r="G24" s="11"/>
      <c r="H24" s="11" t="s">
        <v>63</v>
      </c>
      <c r="I24" s="3" t="s">
        <v>63</v>
      </c>
      <c r="J24" s="3" t="s">
        <v>61</v>
      </c>
      <c r="K24" s="11" t="s">
        <v>63</v>
      </c>
      <c r="L24" s="3" t="s">
        <v>63</v>
      </c>
      <c r="M24" s="11" t="s">
        <v>63</v>
      </c>
      <c r="N24" s="11"/>
      <c r="O24" s="3" t="s">
        <v>63</v>
      </c>
      <c r="P24" s="3" t="s">
        <v>63</v>
      </c>
      <c r="Q24" s="3" t="s">
        <v>63</v>
      </c>
      <c r="R24" s="11" t="s">
        <v>63</v>
      </c>
      <c r="S24" s="3" t="s">
        <v>63</v>
      </c>
      <c r="T24" s="3" t="s">
        <v>61</v>
      </c>
      <c r="U24" s="11"/>
      <c r="V24" s="3" t="s">
        <v>63</v>
      </c>
      <c r="W24" s="3" t="s">
        <v>63</v>
      </c>
      <c r="X24" s="11" t="s">
        <v>63</v>
      </c>
      <c r="Y24" s="11" t="s">
        <v>63</v>
      </c>
      <c r="Z24" s="3" t="s">
        <v>63</v>
      </c>
      <c r="AA24" s="11" t="s">
        <v>63</v>
      </c>
      <c r="AB24" s="11"/>
      <c r="AC24" s="3" t="s">
        <v>63</v>
      </c>
      <c r="AD24" s="3" t="s">
        <v>63</v>
      </c>
      <c r="AE24" s="3" t="s">
        <v>63</v>
      </c>
      <c r="AF24" s="3" t="s">
        <v>63</v>
      </c>
      <c r="AG24" s="11"/>
      <c r="AH24" s="11">
        <f t="shared" si="2"/>
        <v>31</v>
      </c>
      <c r="AI24" s="11">
        <f t="shared" si="3"/>
        <v>24</v>
      </c>
      <c r="AJ24" s="11">
        <f t="shared" si="4"/>
        <v>0</v>
      </c>
      <c r="AK24" s="11">
        <f t="shared" si="5"/>
        <v>2</v>
      </c>
      <c r="AL24" s="12">
        <f t="shared" si="6"/>
        <v>0</v>
      </c>
    </row>
    <row r="25" spans="1:38" x14ac:dyDescent="0.25">
      <c r="A25" s="10" t="s">
        <v>34</v>
      </c>
      <c r="B25" s="17" t="s">
        <v>54</v>
      </c>
      <c r="C25" s="19" t="s">
        <v>63</v>
      </c>
      <c r="D25" s="11" t="s">
        <v>63</v>
      </c>
      <c r="E25" s="3" t="s">
        <v>63</v>
      </c>
      <c r="F25" s="3" t="s">
        <v>63</v>
      </c>
      <c r="G25" s="11"/>
      <c r="H25" s="11" t="s">
        <v>63</v>
      </c>
      <c r="I25" s="3" t="s">
        <v>63</v>
      </c>
      <c r="J25" s="3" t="s">
        <v>62</v>
      </c>
      <c r="K25" s="11" t="s">
        <v>63</v>
      </c>
      <c r="L25" s="3" t="s">
        <v>63</v>
      </c>
      <c r="M25" s="11" t="s">
        <v>63</v>
      </c>
      <c r="N25" s="11"/>
      <c r="O25" s="3" t="s">
        <v>63</v>
      </c>
      <c r="P25" s="3" t="s">
        <v>63</v>
      </c>
      <c r="Q25" s="3" t="s">
        <v>63</v>
      </c>
      <c r="R25" s="11" t="s">
        <v>63</v>
      </c>
      <c r="S25" s="3" t="s">
        <v>63</v>
      </c>
      <c r="T25" s="3" t="s">
        <v>61</v>
      </c>
      <c r="U25" s="11"/>
      <c r="V25" s="3" t="s">
        <v>63</v>
      </c>
      <c r="W25" s="3" t="s">
        <v>63</v>
      </c>
      <c r="X25" s="11" t="s">
        <v>63</v>
      </c>
      <c r="Y25" s="11" t="s">
        <v>63</v>
      </c>
      <c r="Z25" s="3" t="s">
        <v>63</v>
      </c>
      <c r="AA25" s="11" t="s">
        <v>63</v>
      </c>
      <c r="AB25" s="11"/>
      <c r="AC25" s="3" t="s">
        <v>63</v>
      </c>
      <c r="AD25" s="3" t="s">
        <v>63</v>
      </c>
      <c r="AE25" s="3" t="s">
        <v>63</v>
      </c>
      <c r="AF25" s="3" t="s">
        <v>63</v>
      </c>
      <c r="AG25" s="11"/>
      <c r="AH25" s="11">
        <f t="shared" si="2"/>
        <v>31</v>
      </c>
      <c r="AI25" s="11">
        <f t="shared" si="3"/>
        <v>24</v>
      </c>
      <c r="AJ25" s="11">
        <f t="shared" si="4"/>
        <v>1</v>
      </c>
      <c r="AK25" s="11">
        <f t="shared" si="5"/>
        <v>1</v>
      </c>
      <c r="AL25" s="12">
        <f t="shared" si="6"/>
        <v>0</v>
      </c>
    </row>
    <row r="26" spans="1:38" ht="15.75" thickBot="1" x14ac:dyDescent="0.3">
      <c r="A26" s="13" t="s">
        <v>35</v>
      </c>
      <c r="B26" s="18" t="s">
        <v>55</v>
      </c>
      <c r="C26" s="20" t="s">
        <v>63</v>
      </c>
      <c r="D26" s="15" t="s">
        <v>63</v>
      </c>
      <c r="E26" s="15" t="s">
        <v>63</v>
      </c>
      <c r="F26" s="15" t="s">
        <v>62</v>
      </c>
      <c r="G26" s="15"/>
      <c r="H26" s="15" t="s">
        <v>63</v>
      </c>
      <c r="I26" s="30" t="s">
        <v>63</v>
      </c>
      <c r="J26" s="15" t="s">
        <v>63</v>
      </c>
      <c r="K26" s="15" t="s">
        <v>61</v>
      </c>
      <c r="L26" s="30" t="s">
        <v>63</v>
      </c>
      <c r="M26" s="15" t="s">
        <v>62</v>
      </c>
      <c r="N26" s="15"/>
      <c r="O26" s="15" t="s">
        <v>61</v>
      </c>
      <c r="P26" s="30" t="s">
        <v>63</v>
      </c>
      <c r="Q26" s="30" t="s">
        <v>63</v>
      </c>
      <c r="R26" s="15" t="s">
        <v>62</v>
      </c>
      <c r="S26" s="15" t="s">
        <v>63</v>
      </c>
      <c r="T26" s="30" t="s">
        <v>61</v>
      </c>
      <c r="U26" s="15"/>
      <c r="V26" s="30" t="s">
        <v>63</v>
      </c>
      <c r="W26" s="15" t="s">
        <v>61</v>
      </c>
      <c r="X26" s="15" t="s">
        <v>62</v>
      </c>
      <c r="Y26" s="15" t="s">
        <v>63</v>
      </c>
      <c r="Z26" s="15" t="s">
        <v>63</v>
      </c>
      <c r="AA26" s="15" t="s">
        <v>63</v>
      </c>
      <c r="AB26" s="15"/>
      <c r="AC26" s="30" t="s">
        <v>63</v>
      </c>
      <c r="AD26" s="30" t="s">
        <v>63</v>
      </c>
      <c r="AE26" s="30" t="s">
        <v>63</v>
      </c>
      <c r="AF26" s="30" t="s">
        <v>63</v>
      </c>
      <c r="AG26" s="15"/>
      <c r="AH26" s="15">
        <f t="shared" si="2"/>
        <v>31</v>
      </c>
      <c r="AI26" s="15">
        <f t="shared" si="3"/>
        <v>18</v>
      </c>
      <c r="AJ26" s="15">
        <f t="shared" si="4"/>
        <v>4</v>
      </c>
      <c r="AK26" s="15">
        <f t="shared" si="5"/>
        <v>4</v>
      </c>
      <c r="AL26" s="16">
        <f t="shared" si="6"/>
        <v>0</v>
      </c>
    </row>
    <row r="31" spans="1:38" x14ac:dyDescent="0.25">
      <c r="A31" t="s">
        <v>3</v>
      </c>
      <c r="B31">
        <v>2026</v>
      </c>
    </row>
    <row r="32" spans="1:38" x14ac:dyDescent="0.25">
      <c r="A32" t="s">
        <v>4</v>
      </c>
      <c r="B32">
        <v>2027</v>
      </c>
    </row>
    <row r="33" spans="1:2" x14ac:dyDescent="0.25">
      <c r="A33" t="s">
        <v>5</v>
      </c>
      <c r="B33">
        <v>2028</v>
      </c>
    </row>
    <row r="34" spans="1:2" x14ac:dyDescent="0.25">
      <c r="A34" t="s">
        <v>6</v>
      </c>
      <c r="B34">
        <v>2029</v>
      </c>
    </row>
    <row r="35" spans="1:2" x14ac:dyDescent="0.25">
      <c r="A35" t="s">
        <v>2</v>
      </c>
      <c r="B35">
        <v>2030</v>
      </c>
    </row>
    <row r="36" spans="1:2" x14ac:dyDescent="0.25">
      <c r="A36" t="s">
        <v>7</v>
      </c>
    </row>
    <row r="37" spans="1:2" x14ac:dyDescent="0.25">
      <c r="A37" t="s">
        <v>8</v>
      </c>
    </row>
    <row r="38" spans="1:2" x14ac:dyDescent="0.25">
      <c r="A38" t="s">
        <v>9</v>
      </c>
    </row>
    <row r="39" spans="1:2" x14ac:dyDescent="0.25">
      <c r="A39" t="s">
        <v>10</v>
      </c>
    </row>
    <row r="40" spans="1:2" x14ac:dyDescent="0.25">
      <c r="A40" t="s">
        <v>11</v>
      </c>
    </row>
    <row r="41" spans="1:2" x14ac:dyDescent="0.25">
      <c r="A41" t="s">
        <v>12</v>
      </c>
    </row>
    <row r="42" spans="1:2" x14ac:dyDescent="0.25">
      <c r="A42" t="s">
        <v>13</v>
      </c>
    </row>
  </sheetData>
  <mergeCells count="39">
    <mergeCell ref="AL4:AL6"/>
    <mergeCell ref="C1:AL3"/>
    <mergeCell ref="AF5:AF6"/>
    <mergeCell ref="AG5:AG6"/>
    <mergeCell ref="AH4:AH6"/>
    <mergeCell ref="AI4:AI6"/>
    <mergeCell ref="AJ4:AJ6"/>
    <mergeCell ref="AK4:AK6"/>
    <mergeCell ref="Z5:Z6"/>
    <mergeCell ref="AA5:AA6"/>
    <mergeCell ref="AB5:AB6"/>
    <mergeCell ref="AC5:AC6"/>
    <mergeCell ref="AD5:AD6"/>
    <mergeCell ref="AE5:AE6"/>
    <mergeCell ref="T5:T6"/>
    <mergeCell ref="U5:U6"/>
    <mergeCell ref="V5:V6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M5:M6"/>
    <mergeCell ref="A4:A6"/>
    <mergeCell ref="B4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</mergeCells>
  <phoneticPr fontId="2" type="noConversion"/>
  <conditionalFormatting sqref="C7:AF7 C8:Q15 R8:S25 T8:AF26 Q16:Q25 C16:P26 Q26:S26 AG7:AG26">
    <cfRule type="expression" dxfId="4" priority="4">
      <formula>C$5="Sun"</formula>
    </cfRule>
  </conditionalFormatting>
  <conditionalFormatting sqref="C7:AF7 C8:Q15 R8:S25 T8:AF26 Q16:Q25 C16:P26 Q26:S26">
    <cfRule type="containsText" dxfId="3" priority="1" operator="containsText" text="A">
      <formula>NOT(ISERROR(SEARCH("A",C7)))</formula>
    </cfRule>
    <cfRule type="containsText" dxfId="2" priority="2" operator="containsText" text="H">
      <formula>NOT(ISERROR(SEARCH("H",C7)))</formula>
    </cfRule>
  </conditionalFormatting>
  <conditionalFormatting sqref="C4:AG4">
    <cfRule type="timePeriod" dxfId="1" priority="3" timePeriod="today">
      <formula>FLOOR(C4,1)=TODAY()</formula>
    </cfRule>
  </conditionalFormatting>
  <conditionalFormatting sqref="C4:AL6 C7:AF7 AG7:AL26 C8:Q15 R8:S25 T8:AF26 Q16:Q25 C16:P26 Q26:S26">
    <cfRule type="expression" dxfId="0" priority="5">
      <formula>C$4&lt;&gt;""</formula>
    </cfRule>
  </conditionalFormatting>
  <dataValidations count="2">
    <dataValidation type="list" allowBlank="1" showInputMessage="1" showErrorMessage="1" sqref="A2" xr:uid="{1D64F2F0-5F54-4CAD-BAFF-09CCD24A79B4}">
      <formula1>$A$31:$A$42</formula1>
    </dataValidation>
    <dataValidation type="list" allowBlank="1" showInputMessage="1" showErrorMessage="1" sqref="B2" xr:uid="{8F7DA2AE-DFE3-4C3C-BB21-BF97213A342A}">
      <formula1>$B$31:$B$35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5EDA-F019-4622-8936-B373C87CD27E}">
  <dimension ref="A1:R27"/>
  <sheetViews>
    <sheetView zoomScale="140" zoomScaleNormal="140" workbookViewId="0">
      <selection activeCell="F4" sqref="F4"/>
    </sheetView>
  </sheetViews>
  <sheetFormatPr defaultRowHeight="15" x14ac:dyDescent="0.25"/>
  <cols>
    <col min="1" max="1" width="8.140625" bestFit="1" customWidth="1"/>
    <col min="2" max="2" width="14" bestFit="1" customWidth="1"/>
    <col min="3" max="3" width="11.85546875" bestFit="1" customWidth="1"/>
    <col min="4" max="4" width="11.5703125" bestFit="1" customWidth="1"/>
    <col min="5" max="5" width="10.28515625" bestFit="1" customWidth="1"/>
    <col min="6" max="7" width="11.28515625" bestFit="1" customWidth="1"/>
    <col min="8" max="8" width="12" bestFit="1" customWidth="1"/>
    <col min="9" max="9" width="9" bestFit="1" customWidth="1"/>
    <col min="10" max="10" width="9.85546875" customWidth="1"/>
    <col min="11" max="11" width="6.42578125" bestFit="1" customWidth="1"/>
    <col min="12" max="12" width="7.85546875" customWidth="1"/>
    <col min="13" max="13" width="11.140625" bestFit="1" customWidth="1"/>
    <col min="14" max="14" width="9.42578125" bestFit="1" customWidth="1"/>
    <col min="15" max="15" width="7.7109375" customWidth="1"/>
    <col min="16" max="16" width="8.5703125" bestFit="1" customWidth="1"/>
    <col min="17" max="17" width="8.140625" customWidth="1"/>
    <col min="18" max="18" width="10.140625" bestFit="1" customWidth="1"/>
  </cols>
  <sheetData>
    <row r="1" spans="1:18" ht="15" customHeight="1" x14ac:dyDescent="0.25">
      <c r="A1" s="75" t="str">
        <f>"FULL AUTOMATIC SALARY SHEET-"&amp;'Attendence table'!A2&amp;" "&amp;'Attendence table'!B2</f>
        <v>FULL AUTOMATIC SALARY SHEET-Jul 2026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8"/>
    </row>
    <row r="2" spans="1:18" ht="15" customHeight="1" x14ac:dyDescent="0.25">
      <c r="A2" s="76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70"/>
    </row>
    <row r="3" spans="1:18" ht="15.75" customHeight="1" x14ac:dyDescent="0.25">
      <c r="A3" s="76"/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70"/>
    </row>
    <row r="4" spans="1:18" ht="45" x14ac:dyDescent="0.25">
      <c r="A4" s="25" t="s">
        <v>64</v>
      </c>
      <c r="B4" s="21" t="s">
        <v>65</v>
      </c>
      <c r="C4" s="21" t="s">
        <v>66</v>
      </c>
      <c r="D4" s="21" t="s">
        <v>67</v>
      </c>
      <c r="E4" s="21" t="s">
        <v>68</v>
      </c>
      <c r="F4" s="21" t="s">
        <v>69</v>
      </c>
      <c r="G4" s="21" t="s">
        <v>70</v>
      </c>
      <c r="H4" s="21" t="s">
        <v>71</v>
      </c>
      <c r="I4" s="21" t="s">
        <v>72</v>
      </c>
      <c r="J4" s="21" t="s">
        <v>73</v>
      </c>
      <c r="K4" s="21" t="s">
        <v>74</v>
      </c>
      <c r="L4" s="21" t="s">
        <v>86</v>
      </c>
      <c r="M4" s="21" t="s">
        <v>75</v>
      </c>
      <c r="N4" s="21" t="s">
        <v>76</v>
      </c>
      <c r="O4" s="21" t="s">
        <v>77</v>
      </c>
      <c r="P4" s="21" t="s">
        <v>78</v>
      </c>
      <c r="Q4" s="21" t="s">
        <v>79</v>
      </c>
      <c r="R4" s="26" t="s">
        <v>80</v>
      </c>
    </row>
    <row r="5" spans="1:18" x14ac:dyDescent="0.25">
      <c r="A5" s="10" t="str">
        <f>'Attendence table'!A7</f>
        <v>Emp001</v>
      </c>
      <c r="B5" s="1" t="str">
        <f>'Attendence table'!B7</f>
        <v>Aarav Sharma</v>
      </c>
      <c r="C5" s="1" t="s">
        <v>81</v>
      </c>
      <c r="D5" s="1">
        <v>70000</v>
      </c>
      <c r="E5" s="1">
        <f>'Attendence table'!AH7</f>
        <v>31</v>
      </c>
      <c r="F5" s="1">
        <f>SUM('Attendence table'!AI7,'Attendence table'!AK7,'Attendence table'!AL7,)</f>
        <v>28</v>
      </c>
      <c r="G5" s="22">
        <f>D5/E5</f>
        <v>2258.0645161290322</v>
      </c>
      <c r="H5" s="22">
        <f>F5*G5</f>
        <v>63225.806451612902</v>
      </c>
      <c r="I5" s="1">
        <f>D5*12%</f>
        <v>8400</v>
      </c>
      <c r="J5" s="1" t="s">
        <v>73</v>
      </c>
      <c r="K5" s="1">
        <f>IF(J5="City",D5*50%,D5*40%)</f>
        <v>35000</v>
      </c>
      <c r="L5" s="1">
        <f>D5*5%</f>
        <v>3500</v>
      </c>
      <c r="M5" s="23">
        <v>24</v>
      </c>
      <c r="N5" s="22">
        <f>G5/8*M5</f>
        <v>6774.1935483870966</v>
      </c>
      <c r="O5" s="22">
        <f>H5+I5+K5+L5+N5</f>
        <v>116900</v>
      </c>
      <c r="P5" s="1">
        <f>D5*12%</f>
        <v>8400</v>
      </c>
      <c r="Q5" s="1" t="str">
        <f>IF(O5&lt;=40000,O5*0.75%,"0")</f>
        <v>0</v>
      </c>
      <c r="R5" s="27">
        <f>O5-(P5+Q5)</f>
        <v>108500</v>
      </c>
    </row>
    <row r="6" spans="1:18" x14ac:dyDescent="0.25">
      <c r="A6" s="10" t="str">
        <f>'Attendence table'!A8</f>
        <v>Emp002</v>
      </c>
      <c r="B6" s="1" t="str">
        <f>'Attendence table'!B8</f>
        <v>Aditya Verma</v>
      </c>
      <c r="C6" s="1" t="s">
        <v>81</v>
      </c>
      <c r="D6" s="1">
        <v>75000</v>
      </c>
      <c r="E6" s="1">
        <f>'Attendence table'!AH8</f>
        <v>31</v>
      </c>
      <c r="F6" s="1">
        <f>SUM('Attendence table'!AI8,'Attendence table'!AK8,'Attendence table'!AL8,)</f>
        <v>26</v>
      </c>
      <c r="G6" s="22">
        <f t="shared" ref="G6:G24" si="0">D6/E6</f>
        <v>2419.3548387096776</v>
      </c>
      <c r="H6" s="22">
        <f t="shared" ref="H6:H24" si="1">F6*G6</f>
        <v>62903.225806451614</v>
      </c>
      <c r="I6" s="1">
        <f t="shared" ref="I6:I24" si="2">D6*12%</f>
        <v>9000</v>
      </c>
      <c r="J6" s="1" t="s">
        <v>73</v>
      </c>
      <c r="K6" s="1">
        <f t="shared" ref="K6:K24" si="3">IF(J6="City",D6*50%,D6*40%)</f>
        <v>37500</v>
      </c>
      <c r="L6" s="1">
        <f t="shared" ref="L6:L24" si="4">D6*5%</f>
        <v>3750</v>
      </c>
      <c r="M6" s="23">
        <v>4</v>
      </c>
      <c r="N6" s="22">
        <f t="shared" ref="N6:N24" si="5">G6/8*M6</f>
        <v>1209.6774193548388</v>
      </c>
      <c r="O6" s="22">
        <f t="shared" ref="O6:O24" si="6">H6+I6+K6+L6+N6</f>
        <v>114362.90322580644</v>
      </c>
      <c r="P6" s="1">
        <f t="shared" ref="P6:P24" si="7">D6*12%</f>
        <v>9000</v>
      </c>
      <c r="Q6" s="1" t="str">
        <f t="shared" ref="Q6:Q24" si="8">IF(O6&lt;=40000,O6*0.75%,"0")</f>
        <v>0</v>
      </c>
      <c r="R6" s="27">
        <f t="shared" ref="R6:R24" si="9">O6-(P6+Q6)</f>
        <v>105362.90322580644</v>
      </c>
    </row>
    <row r="7" spans="1:18" x14ac:dyDescent="0.25">
      <c r="A7" s="10" t="str">
        <f>'Attendence table'!A9</f>
        <v>Emp003</v>
      </c>
      <c r="B7" s="1" t="str">
        <f>'Attendence table'!B9</f>
        <v>Ananya Singh</v>
      </c>
      <c r="C7" s="1" t="s">
        <v>81</v>
      </c>
      <c r="D7" s="1">
        <v>80000</v>
      </c>
      <c r="E7" s="1">
        <f>'Attendence table'!AH9</f>
        <v>31</v>
      </c>
      <c r="F7" s="1">
        <f>SUM('Attendence table'!AI9,'Attendence table'!AK9,'Attendence table'!AL9,)</f>
        <v>26</v>
      </c>
      <c r="G7" s="22">
        <f t="shared" si="0"/>
        <v>2580.6451612903224</v>
      </c>
      <c r="H7" s="22">
        <f t="shared" si="1"/>
        <v>67096.774193548379</v>
      </c>
      <c r="I7" s="1">
        <f t="shared" si="2"/>
        <v>9600</v>
      </c>
      <c r="J7" s="1" t="s">
        <v>73</v>
      </c>
      <c r="K7" s="1">
        <f t="shared" si="3"/>
        <v>40000</v>
      </c>
      <c r="L7" s="1">
        <f t="shared" si="4"/>
        <v>4000</v>
      </c>
      <c r="M7" s="23">
        <v>41</v>
      </c>
      <c r="N7" s="22">
        <f t="shared" si="5"/>
        <v>13225.806451612903</v>
      </c>
      <c r="O7" s="22">
        <f t="shared" si="6"/>
        <v>133922.58064516127</v>
      </c>
      <c r="P7" s="1">
        <f t="shared" si="7"/>
        <v>9600</v>
      </c>
      <c r="Q7" s="1" t="str">
        <f t="shared" si="8"/>
        <v>0</v>
      </c>
      <c r="R7" s="27">
        <f t="shared" si="9"/>
        <v>124322.58064516127</v>
      </c>
    </row>
    <row r="8" spans="1:18" x14ac:dyDescent="0.25">
      <c r="A8" s="10" t="str">
        <f>'Attendence table'!A10</f>
        <v>Emp004</v>
      </c>
      <c r="B8" s="1" t="str">
        <f>'Attendence table'!B10</f>
        <v>Arjun Kumar</v>
      </c>
      <c r="C8" s="1" t="s">
        <v>81</v>
      </c>
      <c r="D8" s="1">
        <v>60000</v>
      </c>
      <c r="E8" s="1">
        <f>'Attendence table'!AH10</f>
        <v>31</v>
      </c>
      <c r="F8" s="1">
        <f>SUM('Attendence table'!AI10,'Attendence table'!AK10,'Attendence table'!AL10,)</f>
        <v>26</v>
      </c>
      <c r="G8" s="22">
        <f t="shared" si="0"/>
        <v>1935.483870967742</v>
      </c>
      <c r="H8" s="22">
        <f t="shared" si="1"/>
        <v>50322.580645161288</v>
      </c>
      <c r="I8" s="1">
        <f t="shared" si="2"/>
        <v>7200</v>
      </c>
      <c r="J8" s="1" t="s">
        <v>73</v>
      </c>
      <c r="K8" s="1">
        <f t="shared" si="3"/>
        <v>30000</v>
      </c>
      <c r="L8" s="1">
        <f t="shared" si="4"/>
        <v>3000</v>
      </c>
      <c r="M8" s="23">
        <v>20</v>
      </c>
      <c r="N8" s="22">
        <f t="shared" si="5"/>
        <v>4838.7096774193551</v>
      </c>
      <c r="O8" s="22">
        <f t="shared" si="6"/>
        <v>95361.290322580637</v>
      </c>
      <c r="P8" s="1">
        <f t="shared" si="7"/>
        <v>7200</v>
      </c>
      <c r="Q8" s="1" t="str">
        <f t="shared" si="8"/>
        <v>0</v>
      </c>
      <c r="R8" s="27">
        <f t="shared" si="9"/>
        <v>88161.290322580637</v>
      </c>
    </row>
    <row r="9" spans="1:18" x14ac:dyDescent="0.25">
      <c r="A9" s="10" t="str">
        <f>'Attendence table'!A11</f>
        <v>Emp005</v>
      </c>
      <c r="B9" s="1" t="str">
        <f>'Attendence table'!B11</f>
        <v>Ayush Gupta</v>
      </c>
      <c r="C9" s="1" t="s">
        <v>81</v>
      </c>
      <c r="D9" s="1">
        <v>62000</v>
      </c>
      <c r="E9" s="1">
        <f>'Attendence table'!AH11</f>
        <v>31</v>
      </c>
      <c r="F9" s="1">
        <f>SUM('Attendence table'!AI11,'Attendence table'!AK11,'Attendence table'!AL11,)</f>
        <v>26</v>
      </c>
      <c r="G9" s="22">
        <f t="shared" si="0"/>
        <v>2000</v>
      </c>
      <c r="H9" s="22">
        <f t="shared" si="1"/>
        <v>52000</v>
      </c>
      <c r="I9" s="1">
        <f t="shared" si="2"/>
        <v>7440</v>
      </c>
      <c r="J9" s="1" t="s">
        <v>73</v>
      </c>
      <c r="K9" s="1">
        <f t="shared" si="3"/>
        <v>31000</v>
      </c>
      <c r="L9" s="1">
        <f t="shared" si="4"/>
        <v>3100</v>
      </c>
      <c r="M9" s="23">
        <v>18</v>
      </c>
      <c r="N9" s="22">
        <f t="shared" si="5"/>
        <v>4500</v>
      </c>
      <c r="O9" s="22">
        <f t="shared" si="6"/>
        <v>98040</v>
      </c>
      <c r="P9" s="1">
        <f t="shared" si="7"/>
        <v>7440</v>
      </c>
      <c r="Q9" s="1" t="str">
        <f t="shared" si="8"/>
        <v>0</v>
      </c>
      <c r="R9" s="27">
        <f t="shared" si="9"/>
        <v>90600</v>
      </c>
    </row>
    <row r="10" spans="1:18" x14ac:dyDescent="0.25">
      <c r="A10" s="10" t="str">
        <f>'Attendence table'!A12</f>
        <v>Emp006</v>
      </c>
      <c r="B10" s="1" t="str">
        <f>'Attendence table'!B12</f>
        <v>Deepak Yadav</v>
      </c>
      <c r="C10" s="1" t="s">
        <v>82</v>
      </c>
      <c r="D10" s="1">
        <v>45000</v>
      </c>
      <c r="E10" s="1">
        <f>'Attendence table'!AH12</f>
        <v>31</v>
      </c>
      <c r="F10" s="1">
        <f>SUM('Attendence table'!AI12,'Attendence table'!AK12,'Attendence table'!AL12,)</f>
        <v>23</v>
      </c>
      <c r="G10" s="22">
        <f t="shared" si="0"/>
        <v>1451.6129032258063</v>
      </c>
      <c r="H10" s="22">
        <f t="shared" si="1"/>
        <v>33387.096774193546</v>
      </c>
      <c r="I10" s="1">
        <f t="shared" si="2"/>
        <v>5400</v>
      </c>
      <c r="J10" s="1" t="s">
        <v>73</v>
      </c>
      <c r="K10" s="1">
        <f t="shared" si="3"/>
        <v>22500</v>
      </c>
      <c r="L10" s="1">
        <f t="shared" si="4"/>
        <v>2250</v>
      </c>
      <c r="M10" s="23">
        <v>10</v>
      </c>
      <c r="N10" s="22">
        <f t="shared" si="5"/>
        <v>1814.516129032258</v>
      </c>
      <c r="O10" s="22">
        <f t="shared" si="6"/>
        <v>65351.612903225803</v>
      </c>
      <c r="P10" s="1">
        <f t="shared" si="7"/>
        <v>5400</v>
      </c>
      <c r="Q10" s="1" t="str">
        <f t="shared" si="8"/>
        <v>0</v>
      </c>
      <c r="R10" s="27">
        <f t="shared" si="9"/>
        <v>59951.612903225803</v>
      </c>
    </row>
    <row r="11" spans="1:18" x14ac:dyDescent="0.25">
      <c r="A11" s="10" t="str">
        <f>'Attendence table'!A13</f>
        <v>Emp007</v>
      </c>
      <c r="B11" s="1" t="str">
        <f>'Attendence table'!B13</f>
        <v>Divya Patel</v>
      </c>
      <c r="C11" s="1" t="s">
        <v>82</v>
      </c>
      <c r="D11" s="1">
        <v>45000</v>
      </c>
      <c r="E11" s="1">
        <f>'Attendence table'!AH13</f>
        <v>31</v>
      </c>
      <c r="F11" s="1">
        <f>SUM('Attendence table'!AI13,'Attendence table'!AK13,'Attendence table'!AL13,)</f>
        <v>25</v>
      </c>
      <c r="G11" s="22">
        <f t="shared" si="0"/>
        <v>1451.6129032258063</v>
      </c>
      <c r="H11" s="22">
        <f t="shared" si="1"/>
        <v>36290.322580645159</v>
      </c>
      <c r="I11" s="1">
        <f t="shared" si="2"/>
        <v>5400</v>
      </c>
      <c r="J11" s="1" t="s">
        <v>85</v>
      </c>
      <c r="K11" s="1">
        <f t="shared" si="3"/>
        <v>18000</v>
      </c>
      <c r="L11" s="1">
        <f t="shared" si="4"/>
        <v>2250</v>
      </c>
      <c r="M11" s="23">
        <v>25</v>
      </c>
      <c r="N11" s="22">
        <f t="shared" si="5"/>
        <v>4536.2903225806449</v>
      </c>
      <c r="O11" s="22">
        <f t="shared" si="6"/>
        <v>66476.612903225803</v>
      </c>
      <c r="P11" s="1">
        <f t="shared" si="7"/>
        <v>5400</v>
      </c>
      <c r="Q11" s="1" t="str">
        <f t="shared" si="8"/>
        <v>0</v>
      </c>
      <c r="R11" s="27">
        <f t="shared" si="9"/>
        <v>61076.612903225803</v>
      </c>
    </row>
    <row r="12" spans="1:18" x14ac:dyDescent="0.25">
      <c r="A12" s="10" t="str">
        <f>'Attendence table'!A14</f>
        <v>Emp008</v>
      </c>
      <c r="B12" s="1" t="str">
        <f>'Attendence table'!B14</f>
        <v>Harsh Raj</v>
      </c>
      <c r="C12" s="1" t="s">
        <v>82</v>
      </c>
      <c r="D12" s="1">
        <v>40000</v>
      </c>
      <c r="E12" s="1">
        <f>'Attendence table'!AH14</f>
        <v>31</v>
      </c>
      <c r="F12" s="1">
        <f>SUM('Attendence table'!AI14,'Attendence table'!AK14,'Attendence table'!AL14,)</f>
        <v>25</v>
      </c>
      <c r="G12" s="22">
        <f t="shared" si="0"/>
        <v>1290.3225806451612</v>
      </c>
      <c r="H12" s="22">
        <f t="shared" si="1"/>
        <v>32258.06451612903</v>
      </c>
      <c r="I12" s="1">
        <f t="shared" si="2"/>
        <v>4800</v>
      </c>
      <c r="J12" s="1" t="s">
        <v>73</v>
      </c>
      <c r="K12" s="1">
        <f t="shared" si="3"/>
        <v>20000</v>
      </c>
      <c r="L12" s="1">
        <f t="shared" si="4"/>
        <v>2000</v>
      </c>
      <c r="M12" s="23">
        <v>15</v>
      </c>
      <c r="N12" s="22">
        <f t="shared" si="5"/>
        <v>2419.3548387096771</v>
      </c>
      <c r="O12" s="22">
        <f t="shared" si="6"/>
        <v>61477.419354838705</v>
      </c>
      <c r="P12" s="1">
        <f t="shared" si="7"/>
        <v>4800</v>
      </c>
      <c r="Q12" s="1" t="str">
        <f t="shared" si="8"/>
        <v>0</v>
      </c>
      <c r="R12" s="27">
        <f t="shared" si="9"/>
        <v>56677.419354838705</v>
      </c>
    </row>
    <row r="13" spans="1:18" x14ac:dyDescent="0.25">
      <c r="A13" s="10" t="str">
        <f>'Attendence table'!A15</f>
        <v>Emp009</v>
      </c>
      <c r="B13" s="1" t="str">
        <f>'Attendence table'!B15</f>
        <v>Karan Mehta</v>
      </c>
      <c r="C13" s="1" t="s">
        <v>82</v>
      </c>
      <c r="D13" s="1">
        <v>45000</v>
      </c>
      <c r="E13" s="1">
        <f>'Attendence table'!AH15</f>
        <v>31</v>
      </c>
      <c r="F13" s="1">
        <f>SUM('Attendence table'!AI15,'Attendence table'!AK15,'Attendence table'!AL15,)</f>
        <v>26</v>
      </c>
      <c r="G13" s="22">
        <f t="shared" si="0"/>
        <v>1451.6129032258063</v>
      </c>
      <c r="H13" s="22">
        <f t="shared" si="1"/>
        <v>37741.935483870962</v>
      </c>
      <c r="I13" s="1">
        <f t="shared" si="2"/>
        <v>5400</v>
      </c>
      <c r="J13" s="1" t="s">
        <v>73</v>
      </c>
      <c r="K13" s="1">
        <f t="shared" si="3"/>
        <v>22500</v>
      </c>
      <c r="L13" s="1">
        <f t="shared" si="4"/>
        <v>2250</v>
      </c>
      <c r="M13" s="23">
        <v>29</v>
      </c>
      <c r="N13" s="22">
        <f t="shared" si="5"/>
        <v>5262.0967741935483</v>
      </c>
      <c r="O13" s="22">
        <f t="shared" si="6"/>
        <v>73154.032258064515</v>
      </c>
      <c r="P13" s="1">
        <f t="shared" si="7"/>
        <v>5400</v>
      </c>
      <c r="Q13" s="1" t="str">
        <f t="shared" si="8"/>
        <v>0</v>
      </c>
      <c r="R13" s="27">
        <f t="shared" si="9"/>
        <v>67754.032258064515</v>
      </c>
    </row>
    <row r="14" spans="1:18" x14ac:dyDescent="0.25">
      <c r="A14" s="10" t="str">
        <f>'Attendence table'!A16</f>
        <v>Emp010</v>
      </c>
      <c r="B14" s="1" t="str">
        <f>'Attendence table'!B16</f>
        <v>Kavya Nair</v>
      </c>
      <c r="C14" s="1" t="s">
        <v>82</v>
      </c>
      <c r="D14" s="1">
        <v>55000</v>
      </c>
      <c r="E14" s="1">
        <f>'Attendence table'!AH16</f>
        <v>31</v>
      </c>
      <c r="F14" s="1">
        <f>SUM('Attendence table'!AI16,'Attendence table'!AK16,'Attendence table'!AL16,)</f>
        <v>25</v>
      </c>
      <c r="G14" s="22">
        <f t="shared" si="0"/>
        <v>1774.1935483870968</v>
      </c>
      <c r="H14" s="22">
        <f t="shared" si="1"/>
        <v>44354.838709677424</v>
      </c>
      <c r="I14" s="1">
        <f t="shared" si="2"/>
        <v>6600</v>
      </c>
      <c r="J14" s="1" t="s">
        <v>73</v>
      </c>
      <c r="K14" s="1">
        <f t="shared" si="3"/>
        <v>27500</v>
      </c>
      <c r="L14" s="1">
        <f t="shared" si="4"/>
        <v>2750</v>
      </c>
      <c r="M14" s="23">
        <v>12</v>
      </c>
      <c r="N14" s="22">
        <f t="shared" si="5"/>
        <v>2661.2903225806454</v>
      </c>
      <c r="O14" s="22">
        <f t="shared" si="6"/>
        <v>83866.129032258075</v>
      </c>
      <c r="P14" s="1">
        <f t="shared" si="7"/>
        <v>6600</v>
      </c>
      <c r="Q14" s="1" t="str">
        <f t="shared" si="8"/>
        <v>0</v>
      </c>
      <c r="R14" s="27">
        <f t="shared" si="9"/>
        <v>77266.129032258075</v>
      </c>
    </row>
    <row r="15" spans="1:18" x14ac:dyDescent="0.25">
      <c r="A15" s="10" t="str">
        <f>'Attendence table'!A17</f>
        <v>Emp011</v>
      </c>
      <c r="B15" s="1" t="str">
        <f>'Attendence table'!B17</f>
        <v>Manish Kumar</v>
      </c>
      <c r="C15" s="1" t="s">
        <v>82</v>
      </c>
      <c r="D15" s="1">
        <v>45000</v>
      </c>
      <c r="E15" s="1">
        <f>'Attendence table'!AH17</f>
        <v>31</v>
      </c>
      <c r="F15" s="1">
        <f>SUM('Attendence table'!AI17,'Attendence table'!AK17,'Attendence table'!AL17,)</f>
        <v>25</v>
      </c>
      <c r="G15" s="22">
        <f t="shared" si="0"/>
        <v>1451.6129032258063</v>
      </c>
      <c r="H15" s="22">
        <f t="shared" si="1"/>
        <v>36290.322580645159</v>
      </c>
      <c r="I15" s="1">
        <f t="shared" si="2"/>
        <v>5400</v>
      </c>
      <c r="J15" s="1" t="s">
        <v>73</v>
      </c>
      <c r="K15" s="1">
        <f t="shared" si="3"/>
        <v>22500</v>
      </c>
      <c r="L15" s="1">
        <f t="shared" si="4"/>
        <v>2250</v>
      </c>
      <c r="M15" s="23">
        <v>11</v>
      </c>
      <c r="N15" s="22">
        <f t="shared" si="5"/>
        <v>1995.9677419354837</v>
      </c>
      <c r="O15" s="22">
        <f t="shared" si="6"/>
        <v>68436.290322580637</v>
      </c>
      <c r="P15" s="1">
        <f t="shared" si="7"/>
        <v>5400</v>
      </c>
      <c r="Q15" s="1" t="str">
        <f t="shared" si="8"/>
        <v>0</v>
      </c>
      <c r="R15" s="27">
        <f t="shared" si="9"/>
        <v>63036.290322580637</v>
      </c>
    </row>
    <row r="16" spans="1:18" x14ac:dyDescent="0.25">
      <c r="A16" s="10" t="str">
        <f>'Attendence table'!A18</f>
        <v>Emp012</v>
      </c>
      <c r="B16" s="1" t="str">
        <f>'Attendence table'!B18</f>
        <v>Neha Sharma</v>
      </c>
      <c r="C16" s="1" t="s">
        <v>83</v>
      </c>
      <c r="D16" s="1">
        <v>30000</v>
      </c>
      <c r="E16" s="1">
        <f>'Attendence table'!AH18</f>
        <v>31</v>
      </c>
      <c r="F16" s="1">
        <f>SUM('Attendence table'!AI18,'Attendence table'!AK18,'Attendence table'!AL18,)</f>
        <v>25</v>
      </c>
      <c r="G16" s="22">
        <f t="shared" si="0"/>
        <v>967.74193548387098</v>
      </c>
      <c r="H16" s="22">
        <f t="shared" si="1"/>
        <v>24193.548387096773</v>
      </c>
      <c r="I16" s="1">
        <f t="shared" si="2"/>
        <v>3600</v>
      </c>
      <c r="J16" s="1" t="s">
        <v>73</v>
      </c>
      <c r="K16" s="1">
        <f t="shared" si="3"/>
        <v>15000</v>
      </c>
      <c r="L16" s="1">
        <f t="shared" si="4"/>
        <v>1500</v>
      </c>
      <c r="M16" s="23">
        <v>5</v>
      </c>
      <c r="N16" s="22">
        <f t="shared" si="5"/>
        <v>604.83870967741939</v>
      </c>
      <c r="O16" s="22">
        <f t="shared" si="6"/>
        <v>44898.38709677419</v>
      </c>
      <c r="P16" s="1">
        <f t="shared" si="7"/>
        <v>3600</v>
      </c>
      <c r="Q16" s="1" t="str">
        <f t="shared" si="8"/>
        <v>0</v>
      </c>
      <c r="R16" s="27">
        <f t="shared" si="9"/>
        <v>41298.38709677419</v>
      </c>
    </row>
    <row r="17" spans="1:18" x14ac:dyDescent="0.25">
      <c r="A17" s="10" t="str">
        <f>'Attendence table'!A19</f>
        <v>Emp013</v>
      </c>
      <c r="B17" s="1" t="str">
        <f>'Attendence table'!B19</f>
        <v>Pooja Verma</v>
      </c>
      <c r="C17" s="1" t="s">
        <v>83</v>
      </c>
      <c r="D17" s="1">
        <v>30000</v>
      </c>
      <c r="E17" s="1">
        <f>'Attendence table'!AH19</f>
        <v>31</v>
      </c>
      <c r="F17" s="1">
        <f>SUM('Attendence table'!AI19,'Attendence table'!AK19,'Attendence table'!AL19,)</f>
        <v>25</v>
      </c>
      <c r="G17" s="22">
        <f t="shared" si="0"/>
        <v>967.74193548387098</v>
      </c>
      <c r="H17" s="22">
        <f t="shared" si="1"/>
        <v>24193.548387096773</v>
      </c>
      <c r="I17" s="1">
        <f t="shared" si="2"/>
        <v>3600</v>
      </c>
      <c r="J17" s="1" t="s">
        <v>85</v>
      </c>
      <c r="K17" s="1">
        <f t="shared" si="3"/>
        <v>12000</v>
      </c>
      <c r="L17" s="1">
        <f t="shared" si="4"/>
        <v>1500</v>
      </c>
      <c r="M17" s="23">
        <v>7</v>
      </c>
      <c r="N17" s="22">
        <f t="shared" si="5"/>
        <v>846.77419354838707</v>
      </c>
      <c r="O17" s="22">
        <f t="shared" si="6"/>
        <v>42140.322580645159</v>
      </c>
      <c r="P17" s="1">
        <f t="shared" si="7"/>
        <v>3600</v>
      </c>
      <c r="Q17" s="1" t="str">
        <f t="shared" si="8"/>
        <v>0</v>
      </c>
      <c r="R17" s="27">
        <f t="shared" si="9"/>
        <v>38540.322580645159</v>
      </c>
    </row>
    <row r="18" spans="1:18" x14ac:dyDescent="0.25">
      <c r="A18" s="10" t="str">
        <f>'Attendence table'!A20</f>
        <v>Emp014</v>
      </c>
      <c r="B18" s="1" t="str">
        <f>'Attendence table'!B20</f>
        <v>Rahul Singh</v>
      </c>
      <c r="C18" s="1" t="s">
        <v>83</v>
      </c>
      <c r="D18" s="1">
        <v>20000</v>
      </c>
      <c r="E18" s="1">
        <f>'Attendence table'!AH20</f>
        <v>31</v>
      </c>
      <c r="F18" s="1">
        <f>SUM('Attendence table'!AI20,'Attendence table'!AK20,'Attendence table'!AL20,)</f>
        <v>26</v>
      </c>
      <c r="G18" s="22">
        <f t="shared" si="0"/>
        <v>645.16129032258061</v>
      </c>
      <c r="H18" s="22">
        <f t="shared" si="1"/>
        <v>16774.193548387095</v>
      </c>
      <c r="I18" s="1">
        <f t="shared" si="2"/>
        <v>2400</v>
      </c>
      <c r="J18" s="1" t="s">
        <v>85</v>
      </c>
      <c r="K18" s="1">
        <f t="shared" si="3"/>
        <v>8000</v>
      </c>
      <c r="L18" s="1">
        <f t="shared" si="4"/>
        <v>1000</v>
      </c>
      <c r="M18" s="23">
        <v>8</v>
      </c>
      <c r="N18" s="22">
        <f t="shared" si="5"/>
        <v>645.16129032258061</v>
      </c>
      <c r="O18" s="22">
        <f t="shared" si="6"/>
        <v>28819.354838709674</v>
      </c>
      <c r="P18" s="1">
        <f t="shared" si="7"/>
        <v>2400</v>
      </c>
      <c r="Q18" s="22">
        <f t="shared" si="8"/>
        <v>216.14516129032256</v>
      </c>
      <c r="R18" s="27">
        <f t="shared" si="9"/>
        <v>26203.209677419352</v>
      </c>
    </row>
    <row r="19" spans="1:18" x14ac:dyDescent="0.25">
      <c r="A19" s="10" t="str">
        <f>'Attendence table'!A21</f>
        <v>Emp015</v>
      </c>
      <c r="B19" s="1" t="str">
        <f>'Attendence table'!B21</f>
        <v>Riya Gupta</v>
      </c>
      <c r="C19" s="1" t="s">
        <v>83</v>
      </c>
      <c r="D19" s="1">
        <v>28000</v>
      </c>
      <c r="E19" s="1">
        <f>'Attendence table'!AH21</f>
        <v>31</v>
      </c>
      <c r="F19" s="1">
        <f>SUM('Attendence table'!AI21,'Attendence table'!AK21,'Attendence table'!AL21,)</f>
        <v>26</v>
      </c>
      <c r="G19" s="22">
        <f t="shared" si="0"/>
        <v>903.22580645161293</v>
      </c>
      <c r="H19" s="22">
        <f t="shared" si="1"/>
        <v>23483.870967741936</v>
      </c>
      <c r="I19" s="1">
        <f t="shared" si="2"/>
        <v>3360</v>
      </c>
      <c r="J19" s="1" t="s">
        <v>73</v>
      </c>
      <c r="K19" s="1">
        <f t="shared" si="3"/>
        <v>14000</v>
      </c>
      <c r="L19" s="1">
        <f t="shared" si="4"/>
        <v>1400</v>
      </c>
      <c r="M19" s="23">
        <v>17</v>
      </c>
      <c r="N19" s="22">
        <f t="shared" si="5"/>
        <v>1919.3548387096776</v>
      </c>
      <c r="O19" s="22">
        <f t="shared" si="6"/>
        <v>44163.225806451614</v>
      </c>
      <c r="P19" s="1">
        <f t="shared" si="7"/>
        <v>3360</v>
      </c>
      <c r="Q19" s="1" t="str">
        <f t="shared" si="8"/>
        <v>0</v>
      </c>
      <c r="R19" s="27">
        <f t="shared" si="9"/>
        <v>40803.225806451614</v>
      </c>
    </row>
    <row r="20" spans="1:18" x14ac:dyDescent="0.25">
      <c r="A20" s="10" t="str">
        <f>'Attendence table'!A22</f>
        <v>Emp016</v>
      </c>
      <c r="B20" s="1" t="str">
        <f>'Attendence table'!B22</f>
        <v>Rohit Mishra</v>
      </c>
      <c r="C20" s="1" t="s">
        <v>83</v>
      </c>
      <c r="D20" s="1">
        <v>30000</v>
      </c>
      <c r="E20" s="1">
        <f>'Attendence table'!AH22</f>
        <v>31</v>
      </c>
      <c r="F20" s="1">
        <f>SUM('Attendence table'!AI22,'Attendence table'!AK22,'Attendence table'!AL22,)</f>
        <v>26</v>
      </c>
      <c r="G20" s="22">
        <f t="shared" si="0"/>
        <v>967.74193548387098</v>
      </c>
      <c r="H20" s="22">
        <f t="shared" si="1"/>
        <v>25161.290322580644</v>
      </c>
      <c r="I20" s="1">
        <f t="shared" si="2"/>
        <v>3600</v>
      </c>
      <c r="J20" s="1" t="s">
        <v>73</v>
      </c>
      <c r="K20" s="1">
        <f t="shared" si="3"/>
        <v>15000</v>
      </c>
      <c r="L20" s="1">
        <f t="shared" si="4"/>
        <v>1500</v>
      </c>
      <c r="M20" s="23">
        <v>6</v>
      </c>
      <c r="N20" s="22">
        <f t="shared" si="5"/>
        <v>725.80645161290317</v>
      </c>
      <c r="O20" s="22">
        <f t="shared" si="6"/>
        <v>45987.096774193546</v>
      </c>
      <c r="P20" s="1">
        <f t="shared" si="7"/>
        <v>3600</v>
      </c>
      <c r="Q20" s="1" t="str">
        <f t="shared" si="8"/>
        <v>0</v>
      </c>
      <c r="R20" s="27">
        <f t="shared" si="9"/>
        <v>42387.096774193546</v>
      </c>
    </row>
    <row r="21" spans="1:18" x14ac:dyDescent="0.25">
      <c r="A21" s="10" t="str">
        <f>'Attendence table'!A23</f>
        <v>Emp017</v>
      </c>
      <c r="B21" s="1" t="str">
        <f>'Attendence table'!B23</f>
        <v>Sanya Kapoor</v>
      </c>
      <c r="C21" s="1" t="s">
        <v>83</v>
      </c>
      <c r="D21" s="1">
        <v>32000</v>
      </c>
      <c r="E21" s="1">
        <f>'Attendence table'!AH23</f>
        <v>31</v>
      </c>
      <c r="F21" s="1">
        <f>SUM('Attendence table'!AI23,'Attendence table'!AK23,'Attendence table'!AL23,)</f>
        <v>23</v>
      </c>
      <c r="G21" s="22">
        <f t="shared" si="0"/>
        <v>1032.258064516129</v>
      </c>
      <c r="H21" s="22">
        <f t="shared" si="1"/>
        <v>23741.935483870966</v>
      </c>
      <c r="I21" s="1">
        <f t="shared" si="2"/>
        <v>3840</v>
      </c>
      <c r="J21" s="1" t="s">
        <v>85</v>
      </c>
      <c r="K21" s="1">
        <f t="shared" si="3"/>
        <v>12800</v>
      </c>
      <c r="L21" s="1">
        <f t="shared" si="4"/>
        <v>1600</v>
      </c>
      <c r="M21" s="23">
        <v>4</v>
      </c>
      <c r="N21" s="22">
        <f t="shared" si="5"/>
        <v>516.12903225806451</v>
      </c>
      <c r="O21" s="22">
        <f t="shared" si="6"/>
        <v>42498.064516129038</v>
      </c>
      <c r="P21" s="1">
        <f t="shared" si="7"/>
        <v>3840</v>
      </c>
      <c r="Q21" s="1" t="str">
        <f t="shared" si="8"/>
        <v>0</v>
      </c>
      <c r="R21" s="27">
        <f t="shared" si="9"/>
        <v>38658.064516129038</v>
      </c>
    </row>
    <row r="22" spans="1:18" x14ac:dyDescent="0.25">
      <c r="A22" s="10" t="str">
        <f>'Attendence table'!A24</f>
        <v>Emp018</v>
      </c>
      <c r="B22" s="1" t="str">
        <f>'Attendence table'!B24</f>
        <v>Shubham Das</v>
      </c>
      <c r="C22" s="1" t="s">
        <v>84</v>
      </c>
      <c r="D22" s="1">
        <v>24000</v>
      </c>
      <c r="E22" s="1">
        <f>'Attendence table'!AH24</f>
        <v>31</v>
      </c>
      <c r="F22" s="1">
        <f>SUM('Attendence table'!AI24,'Attendence table'!AK24,'Attendence table'!AL24,)</f>
        <v>26</v>
      </c>
      <c r="G22" s="22">
        <f t="shared" si="0"/>
        <v>774.19354838709683</v>
      </c>
      <c r="H22" s="22">
        <f t="shared" si="1"/>
        <v>20129.032258064519</v>
      </c>
      <c r="I22" s="1">
        <f t="shared" si="2"/>
        <v>2880</v>
      </c>
      <c r="J22" s="1" t="s">
        <v>73</v>
      </c>
      <c r="K22" s="1">
        <f t="shared" si="3"/>
        <v>12000</v>
      </c>
      <c r="L22" s="1">
        <f t="shared" si="4"/>
        <v>1200</v>
      </c>
      <c r="M22" s="23">
        <v>19</v>
      </c>
      <c r="N22" s="22">
        <f t="shared" si="5"/>
        <v>1838.7096774193549</v>
      </c>
      <c r="O22" s="22">
        <f t="shared" si="6"/>
        <v>38047.741935483871</v>
      </c>
      <c r="P22" s="1">
        <f t="shared" si="7"/>
        <v>2880</v>
      </c>
      <c r="Q22" s="22">
        <f t="shared" si="8"/>
        <v>285.35806451612905</v>
      </c>
      <c r="R22" s="27">
        <f t="shared" si="9"/>
        <v>34882.383870967744</v>
      </c>
    </row>
    <row r="23" spans="1:18" x14ac:dyDescent="0.25">
      <c r="A23" s="10" t="str">
        <f>'Attendence table'!A25</f>
        <v>Emp019</v>
      </c>
      <c r="B23" s="1" t="str">
        <f>'Attendence table'!B25</f>
        <v>Sneha Kumari</v>
      </c>
      <c r="C23" s="1" t="s">
        <v>84</v>
      </c>
      <c r="D23" s="1">
        <v>24000</v>
      </c>
      <c r="E23" s="1">
        <f>'Attendence table'!AH25</f>
        <v>31</v>
      </c>
      <c r="F23" s="1">
        <f>SUM('Attendence table'!AI25,'Attendence table'!AK25,'Attendence table'!AL25,)</f>
        <v>25</v>
      </c>
      <c r="G23" s="22">
        <f t="shared" si="0"/>
        <v>774.19354838709683</v>
      </c>
      <c r="H23" s="22">
        <f t="shared" si="1"/>
        <v>19354.83870967742</v>
      </c>
      <c r="I23" s="1">
        <f t="shared" si="2"/>
        <v>2880</v>
      </c>
      <c r="J23" s="1" t="s">
        <v>73</v>
      </c>
      <c r="K23" s="1">
        <f t="shared" si="3"/>
        <v>12000</v>
      </c>
      <c r="L23" s="1">
        <f t="shared" si="4"/>
        <v>1200</v>
      </c>
      <c r="M23" s="23">
        <v>20</v>
      </c>
      <c r="N23" s="22">
        <f t="shared" si="5"/>
        <v>1935.483870967742</v>
      </c>
      <c r="O23" s="22">
        <f t="shared" si="6"/>
        <v>37370.322580645166</v>
      </c>
      <c r="P23" s="1">
        <f t="shared" si="7"/>
        <v>2880</v>
      </c>
      <c r="Q23" s="22">
        <f t="shared" si="8"/>
        <v>280.27741935483874</v>
      </c>
      <c r="R23" s="27">
        <f t="shared" si="9"/>
        <v>34210.045161290327</v>
      </c>
    </row>
    <row r="24" spans="1:18" ht="15.75" thickBot="1" x14ac:dyDescent="0.3">
      <c r="A24" s="13" t="str">
        <f>'Attendence table'!A26</f>
        <v>Emp020</v>
      </c>
      <c r="B24" s="14" t="str">
        <f>'Attendence table'!B26</f>
        <v>Vikash Kumar</v>
      </c>
      <c r="C24" s="14" t="s">
        <v>84</v>
      </c>
      <c r="D24" s="14">
        <v>24000</v>
      </c>
      <c r="E24" s="14">
        <f>'Attendence table'!AH26</f>
        <v>31</v>
      </c>
      <c r="F24" s="14">
        <f>SUM('Attendence table'!AI26,'Attendence table'!AK26,'Attendence table'!AL26,)</f>
        <v>22</v>
      </c>
      <c r="G24" s="28">
        <f t="shared" si="0"/>
        <v>774.19354838709683</v>
      </c>
      <c r="H24" s="28">
        <f t="shared" si="1"/>
        <v>17032.258064516129</v>
      </c>
      <c r="I24" s="14">
        <f t="shared" si="2"/>
        <v>2880</v>
      </c>
      <c r="J24" s="14" t="s">
        <v>85</v>
      </c>
      <c r="K24" s="14">
        <f t="shared" si="3"/>
        <v>9600</v>
      </c>
      <c r="L24" s="14">
        <f t="shared" si="4"/>
        <v>1200</v>
      </c>
      <c r="M24" s="24">
        <v>9</v>
      </c>
      <c r="N24" s="28">
        <f t="shared" si="5"/>
        <v>870.9677419354839</v>
      </c>
      <c r="O24" s="28">
        <f t="shared" si="6"/>
        <v>31583.225806451614</v>
      </c>
      <c r="P24" s="14">
        <f t="shared" si="7"/>
        <v>2880</v>
      </c>
      <c r="Q24" s="28">
        <f t="shared" si="8"/>
        <v>236.8741935483871</v>
      </c>
      <c r="R24" s="29">
        <f t="shared" si="9"/>
        <v>28466.351612903225</v>
      </c>
    </row>
    <row r="25" spans="1:18" x14ac:dyDescent="0.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</row>
    <row r="26" spans="1:18" x14ac:dyDescent="0.25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</row>
    <row r="27" spans="1:18" x14ac:dyDescent="0.25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</row>
  </sheetData>
  <mergeCells count="1">
    <mergeCell ref="A1:R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97526-D226-4266-A732-C9200E3FEBBE}">
  <dimension ref="A1:D21"/>
  <sheetViews>
    <sheetView tabSelected="1" zoomScale="150" zoomScaleNormal="150" workbookViewId="0">
      <selection activeCell="B5" sqref="B5"/>
    </sheetView>
  </sheetViews>
  <sheetFormatPr defaultRowHeight="15" x14ac:dyDescent="0.25"/>
  <cols>
    <col min="1" max="1" width="26" customWidth="1"/>
    <col min="2" max="2" width="16.42578125" bestFit="1" customWidth="1"/>
    <col min="3" max="3" width="24.42578125" bestFit="1" customWidth="1"/>
    <col min="4" max="4" width="14.5703125" customWidth="1"/>
  </cols>
  <sheetData>
    <row r="1" spans="1:4" ht="19.5" x14ac:dyDescent="0.25">
      <c r="A1" s="82" t="s">
        <v>87</v>
      </c>
      <c r="B1" s="83"/>
      <c r="C1" s="83"/>
      <c r="D1" s="84"/>
    </row>
    <row r="2" spans="1:4" ht="15.75" x14ac:dyDescent="0.25">
      <c r="A2" s="91" t="s">
        <v>94</v>
      </c>
      <c r="B2" s="92"/>
      <c r="C2" s="92"/>
      <c r="D2" s="93"/>
    </row>
    <row r="3" spans="1:4" ht="19.5" thickBot="1" x14ac:dyDescent="0.35">
      <c r="A3" s="79"/>
      <c r="B3" s="80"/>
      <c r="C3" s="80"/>
      <c r="D3" s="81"/>
    </row>
    <row r="4" spans="1:4" ht="18.75" x14ac:dyDescent="0.3">
      <c r="A4" s="85" t="s">
        <v>88</v>
      </c>
      <c r="B4" s="86"/>
      <c r="C4" s="87" t="s">
        <v>89</v>
      </c>
      <c r="D4" s="88"/>
    </row>
    <row r="5" spans="1:4" ht="19.5" customHeight="1" x14ac:dyDescent="0.25">
      <c r="A5" s="41" t="s">
        <v>64</v>
      </c>
      <c r="B5" s="42" t="s">
        <v>16</v>
      </c>
      <c r="C5" s="43" t="s">
        <v>69</v>
      </c>
      <c r="D5" s="48">
        <f>VLOOKUP($B$5,'Salary sheet'!A1:R24,6,0)</f>
        <v>28</v>
      </c>
    </row>
    <row r="6" spans="1:4" ht="18" customHeight="1" x14ac:dyDescent="0.25">
      <c r="A6" s="41" t="s">
        <v>65</v>
      </c>
      <c r="B6" s="42" t="str">
        <f>VLOOKUP($B$5,'Salary sheet'!A1:$R$24,MATCH(A6,'Salary sheet'!$A$4:$R$4,0),0)</f>
        <v>Aarav Sharma</v>
      </c>
      <c r="C6" s="43" t="s">
        <v>68</v>
      </c>
      <c r="D6" s="48">
        <f>VLOOKUP($B$5, 'Salary sheet'!$A$4:$R$24, MATCH(C6, 'Salary sheet'!$A$4:$R$4, 0), 0)</f>
        <v>31</v>
      </c>
    </row>
    <row r="7" spans="1:4" ht="16.5" thickBot="1" x14ac:dyDescent="0.3">
      <c r="A7" s="44" t="s">
        <v>66</v>
      </c>
      <c r="B7" s="49" t="str">
        <f>VLOOKUP($B$5,'Salary sheet'!A2:$R$24,MATCH(A7,'Salary sheet'!$A$4:$R$4,0),0)</f>
        <v>Manager</v>
      </c>
      <c r="C7" s="45" t="s">
        <v>90</v>
      </c>
      <c r="D7" s="50">
        <f ca="1">TODAY()</f>
        <v>46300</v>
      </c>
    </row>
    <row r="8" spans="1:4" ht="19.5" thickBot="1" x14ac:dyDescent="0.35">
      <c r="A8" s="57"/>
      <c r="B8" s="38"/>
      <c r="C8" s="38"/>
      <c r="D8" s="58"/>
    </row>
    <row r="9" spans="1:4" ht="19.5" thickBot="1" x14ac:dyDescent="0.35">
      <c r="A9" s="85" t="s">
        <v>67</v>
      </c>
      <c r="B9" s="86"/>
      <c r="C9" s="89">
        <f>VLOOKUP($B$5, 'Salary sheet'!$A$4:$R$24, MATCH(A12, 'Salary sheet'!$A$4:$R$4, 0), 0)</f>
        <v>63225.806451612902</v>
      </c>
      <c r="D9" s="90"/>
    </row>
    <row r="10" spans="1:4" ht="19.5" thickBot="1" x14ac:dyDescent="0.35">
      <c r="A10" s="57"/>
      <c r="B10" s="38"/>
      <c r="C10" s="38"/>
      <c r="D10" s="58"/>
    </row>
    <row r="11" spans="1:4" ht="18.75" x14ac:dyDescent="0.3">
      <c r="A11" s="85" t="s">
        <v>91</v>
      </c>
      <c r="B11" s="86"/>
      <c r="C11" s="85" t="s">
        <v>92</v>
      </c>
      <c r="D11" s="88"/>
    </row>
    <row r="12" spans="1:4" ht="30" customHeight="1" x14ac:dyDescent="0.25">
      <c r="A12" s="39" t="s">
        <v>71</v>
      </c>
      <c r="B12" s="46">
        <f>VLOOKUP($B$5, 'Salary sheet'!$A$4:$R$24, 8, 0)</f>
        <v>63225.806451612902</v>
      </c>
      <c r="C12" s="34" t="s">
        <v>78</v>
      </c>
      <c r="D12" s="51">
        <f>VLOOKUP($B$5,'Salary sheet'!A1:R24,16,0)</f>
        <v>8400</v>
      </c>
    </row>
    <row r="13" spans="1:4" ht="15.75" x14ac:dyDescent="0.25">
      <c r="A13" s="39" t="s">
        <v>72</v>
      </c>
      <c r="B13" s="46">
        <f>VLOOKUP($B$5, 'Salary sheet'!$A$4:$R$24, 9, 0)</f>
        <v>8400</v>
      </c>
      <c r="C13" s="34" t="s">
        <v>79</v>
      </c>
      <c r="D13" s="52" t="str">
        <f>VLOOKUP($B$5,'Salary sheet'!A1:R24,17,0)</f>
        <v>0</v>
      </c>
    </row>
    <row r="14" spans="1:4" ht="18.75" x14ac:dyDescent="0.3">
      <c r="A14" s="39" t="s">
        <v>74</v>
      </c>
      <c r="B14" s="46">
        <f>VLOOKUP($B$5, 'Salary sheet'!$A$4:$R$24, 11, 0)</f>
        <v>35000</v>
      </c>
      <c r="C14" s="35"/>
      <c r="D14" s="47"/>
    </row>
    <row r="15" spans="1:4" ht="18.75" x14ac:dyDescent="0.3">
      <c r="A15" s="39" t="s">
        <v>86</v>
      </c>
      <c r="B15" s="46">
        <f>VLOOKUP(B5,'Salary sheet'!A1:R24,12,0)</f>
        <v>3500</v>
      </c>
      <c r="C15" s="35"/>
      <c r="D15" s="47"/>
    </row>
    <row r="16" spans="1:4" ht="18.75" x14ac:dyDescent="0.3">
      <c r="A16" s="33" t="s">
        <v>76</v>
      </c>
      <c r="B16" s="46">
        <f>VLOOKUP($B$5, 'Salary sheet'!$A$4:$R$24, 14, 0)</f>
        <v>6774.1935483870966</v>
      </c>
      <c r="C16" s="37"/>
      <c r="D16" s="47"/>
    </row>
    <row r="17" spans="1:4" ht="16.5" thickBot="1" x14ac:dyDescent="0.3">
      <c r="A17" s="40" t="s">
        <v>77</v>
      </c>
      <c r="B17" s="53">
        <f>VLOOKUP($B$5,'Salary sheet'!A1:R24,15,0)</f>
        <v>116900</v>
      </c>
      <c r="C17" s="36" t="s">
        <v>93</v>
      </c>
      <c r="D17" s="54">
        <f>SUM(D12:D13)</f>
        <v>8400</v>
      </c>
    </row>
    <row r="18" spans="1:4" ht="16.5" thickBot="1" x14ac:dyDescent="0.3">
      <c r="A18" s="77" t="s">
        <v>80</v>
      </c>
      <c r="B18" s="78"/>
      <c r="C18" s="55">
        <f>B17-D17</f>
        <v>108500</v>
      </c>
      <c r="D18" s="56"/>
    </row>
    <row r="19" spans="1:4" ht="18.75" x14ac:dyDescent="0.3">
      <c r="A19" s="38"/>
      <c r="B19" s="38"/>
      <c r="C19" s="38"/>
      <c r="D19" s="38"/>
    </row>
    <row r="20" spans="1:4" ht="18.75" x14ac:dyDescent="0.3">
      <c r="A20" s="2"/>
      <c r="B20" s="2"/>
      <c r="C20" s="2"/>
      <c r="D20" s="2"/>
    </row>
    <row r="21" spans="1:4" ht="18.75" x14ac:dyDescent="0.3">
      <c r="A21" s="2"/>
      <c r="B21" s="2"/>
      <c r="C21" s="2"/>
      <c r="D21" s="2"/>
    </row>
  </sheetData>
  <mergeCells count="10">
    <mergeCell ref="A18:B18"/>
    <mergeCell ref="A3:D3"/>
    <mergeCell ref="A1:D1"/>
    <mergeCell ref="A4:B4"/>
    <mergeCell ref="C4:D4"/>
    <mergeCell ref="A9:B9"/>
    <mergeCell ref="C9:D9"/>
    <mergeCell ref="A11:B11"/>
    <mergeCell ref="C11:D11"/>
    <mergeCell ref="A2:D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F8DFF5A-1E21-4BD5-8781-571CAC36E2BD}">
          <x14:formula1>
            <xm:f>'Salary sheet'!$A$5:$A$24</xm:f>
          </x14:formula1>
          <xm:sqref>B5 A5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Attendence table</vt:lpstr>
      <vt:lpstr>Salary sheet</vt:lpstr>
      <vt:lpstr>Salary slip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Singh</dc:creator>
  <cp:lastModifiedBy>Aditya singh</cp:lastModifiedBy>
  <dcterms:created xsi:type="dcterms:W3CDTF">2026-09-24T00:48:50Z</dcterms:created>
  <dcterms:modified xsi:type="dcterms:W3CDTF">2026-10-05T16:44:51Z</dcterms:modified>
</cp:coreProperties>
</file>